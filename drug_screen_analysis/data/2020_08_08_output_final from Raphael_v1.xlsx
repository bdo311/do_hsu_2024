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do/Dropbox (MIT)/MVH_Code/brq/data/"/>
    </mc:Choice>
  </mc:AlternateContent>
  <xr:revisionPtr revIDLastSave="0" documentId="8_{5DDA05AE-B92E-A040-B191-FFE49C48E2CD}" xr6:coauthVersionLast="45" xr6:coauthVersionMax="45" xr10:uidLastSave="{00000000-0000-0000-0000-000000000000}"/>
  <bookViews>
    <workbookView xWindow="0" yWindow="460" windowWidth="28800" windowHeight="17540" activeTab="2" xr2:uid="{00000000-000D-0000-FFFF-FFFF00000000}"/>
  </bookViews>
  <sheets>
    <sheet name="output_final" sheetId="1" r:id="rId1"/>
    <sheet name="first half" sheetId="3" r:id="rId2"/>
    <sheet name="second half" sheetId="4" r:id="rId3"/>
    <sheet name="Isaac pathway ID" sheetId="2" r:id="rId4"/>
  </sheets>
  <definedNames>
    <definedName name="_xlnm._FilterDatabase" localSheetId="3" hidden="1">'Isaac pathway ID'!$C$1:$K$1</definedName>
    <definedName name="_xlnm._FilterDatabase" localSheetId="0" hidden="1">output_final!$A$1:$Y$241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7" i="4" l="1"/>
  <c r="M14" i="4"/>
  <c r="M64" i="4"/>
  <c r="M65" i="4"/>
  <c r="M50" i="4"/>
  <c r="M16" i="4"/>
  <c r="M72" i="4"/>
  <c r="M76" i="4"/>
  <c r="M47" i="4"/>
  <c r="M36" i="4"/>
  <c r="M34" i="4"/>
  <c r="M84" i="4"/>
  <c r="M55" i="4"/>
  <c r="M63" i="4"/>
  <c r="M26" i="4"/>
  <c r="M62" i="4"/>
  <c r="M30" i="4"/>
  <c r="M60" i="4"/>
  <c r="M22" i="4"/>
  <c r="M75" i="4"/>
  <c r="M18" i="4"/>
  <c r="M69" i="4"/>
  <c r="M86" i="4"/>
  <c r="M35" i="4"/>
  <c r="M42" i="4"/>
  <c r="M51" i="4"/>
  <c r="M41" i="4"/>
  <c r="M32" i="4"/>
  <c r="M45" i="4"/>
  <c r="M21" i="4"/>
  <c r="M12" i="4"/>
  <c r="M20" i="4"/>
  <c r="M43" i="4"/>
  <c r="M46" i="4"/>
  <c r="M53" i="4"/>
  <c r="M44" i="4"/>
  <c r="M33" i="4"/>
  <c r="M31" i="4"/>
  <c r="M13" i="4"/>
  <c r="M52" i="4"/>
  <c r="M48" i="4"/>
  <c r="M56" i="4"/>
  <c r="M11" i="4"/>
  <c r="M19" i="4"/>
  <c r="M6" i="4"/>
  <c r="M79" i="4"/>
  <c r="M38" i="4"/>
  <c r="M39" i="4"/>
  <c r="M121" i="4"/>
  <c r="M98" i="4"/>
  <c r="M102" i="4"/>
  <c r="M97" i="4"/>
  <c r="M8" i="4"/>
  <c r="M91" i="4"/>
  <c r="M95" i="4"/>
  <c r="M101" i="4"/>
  <c r="M15" i="4"/>
  <c r="M9" i="4"/>
  <c r="M92" i="4"/>
  <c r="M106" i="4"/>
  <c r="M4" i="4"/>
  <c r="M110" i="4"/>
  <c r="M100" i="4"/>
  <c r="M105" i="4"/>
  <c r="M99" i="4"/>
  <c r="M107" i="4"/>
  <c r="M96" i="4"/>
  <c r="M104" i="4"/>
  <c r="M93" i="4"/>
  <c r="M5" i="4"/>
  <c r="M17" i="4"/>
  <c r="M94" i="4"/>
  <c r="M116" i="4"/>
  <c r="M74" i="4"/>
  <c r="M118" i="4"/>
  <c r="M24" i="4"/>
  <c r="M108" i="4"/>
  <c r="M113" i="4"/>
  <c r="M58" i="4"/>
  <c r="M3" i="4"/>
  <c r="M114" i="4"/>
  <c r="M87" i="4"/>
  <c r="M112" i="4"/>
  <c r="M28" i="4"/>
  <c r="M120" i="4"/>
  <c r="M119" i="4"/>
  <c r="M117" i="4"/>
  <c r="M89" i="4"/>
  <c r="M25" i="4"/>
  <c r="M109" i="4"/>
  <c r="M57" i="4"/>
  <c r="M103" i="4"/>
  <c r="M29" i="4"/>
  <c r="M115" i="4"/>
  <c r="M10" i="4"/>
  <c r="M111" i="4"/>
  <c r="M54" i="4"/>
  <c r="M67" i="4"/>
  <c r="M82" i="4"/>
  <c r="M70" i="4"/>
  <c r="M23" i="4"/>
  <c r="M2" i="4"/>
  <c r="J2" i="4"/>
  <c r="M85" i="4"/>
  <c r="M81" i="4"/>
  <c r="M90" i="4"/>
  <c r="M68" i="4"/>
  <c r="M78" i="4"/>
  <c r="M73" i="4"/>
  <c r="M59" i="4"/>
  <c r="M66" i="4"/>
  <c r="M71" i="4"/>
  <c r="M61" i="4"/>
  <c r="M88" i="4"/>
  <c r="M49" i="4"/>
  <c r="M80" i="4"/>
  <c r="M37" i="4"/>
  <c r="M40" i="4"/>
  <c r="M83" i="4"/>
  <c r="M77" i="4"/>
  <c r="M27" i="4"/>
  <c r="M82" i="3"/>
  <c r="M85" i="3"/>
  <c r="M70" i="3"/>
  <c r="M80" i="3"/>
  <c r="M10" i="3"/>
  <c r="M86" i="3"/>
  <c r="M79" i="3"/>
  <c r="M24" i="3"/>
  <c r="M42" i="3"/>
  <c r="M78" i="3"/>
  <c r="M75" i="3"/>
  <c r="M84" i="3"/>
  <c r="M64" i="3"/>
  <c r="M61" i="3"/>
  <c r="M73" i="3"/>
  <c r="M72" i="3"/>
  <c r="M66" i="3"/>
  <c r="M32" i="3"/>
  <c r="M115" i="3"/>
  <c r="I115" i="3"/>
  <c r="M63" i="3"/>
  <c r="M57" i="3"/>
  <c r="M94" i="3"/>
  <c r="M68" i="3"/>
  <c r="M55" i="3"/>
  <c r="M108" i="3"/>
  <c r="M38" i="3"/>
  <c r="M101" i="3"/>
  <c r="M29" i="3"/>
  <c r="M37" i="3"/>
  <c r="M40" i="3"/>
  <c r="M89" i="3"/>
  <c r="M106" i="3"/>
  <c r="M21" i="3"/>
  <c r="M96" i="3"/>
  <c r="M114" i="3"/>
  <c r="M117" i="3"/>
  <c r="M4" i="3"/>
  <c r="M69" i="3"/>
  <c r="M3" i="3"/>
  <c r="M107" i="3"/>
  <c r="M83" i="3"/>
  <c r="M87" i="3"/>
  <c r="M51" i="3"/>
  <c r="M99" i="3"/>
  <c r="M19" i="3"/>
  <c r="M5" i="3"/>
  <c r="M113" i="3"/>
  <c r="M39" i="3"/>
  <c r="M14" i="3"/>
  <c r="M41" i="3"/>
  <c r="M15" i="3"/>
  <c r="M12" i="3"/>
  <c r="M8" i="3"/>
  <c r="M7" i="3"/>
  <c r="M30" i="3"/>
  <c r="M11" i="3"/>
  <c r="M9" i="3"/>
  <c r="M74" i="3"/>
  <c r="M18" i="3"/>
  <c r="M20" i="3"/>
  <c r="M28" i="3"/>
  <c r="M26" i="3"/>
  <c r="M23" i="3"/>
  <c r="M17" i="3"/>
  <c r="M34" i="3"/>
  <c r="M13" i="3"/>
  <c r="M22" i="3"/>
  <c r="M6" i="3"/>
  <c r="M2" i="3"/>
  <c r="M25" i="3"/>
  <c r="M120" i="3"/>
  <c r="M27" i="3"/>
  <c r="M91" i="3"/>
  <c r="M95" i="3"/>
  <c r="M100" i="3"/>
  <c r="M48" i="3"/>
  <c r="M97" i="3"/>
  <c r="M109" i="3"/>
  <c r="M88" i="3"/>
  <c r="M105" i="3"/>
  <c r="M93" i="3"/>
  <c r="M16" i="3"/>
  <c r="M119" i="3"/>
  <c r="M92" i="3"/>
  <c r="M112" i="3"/>
  <c r="M49" i="3"/>
  <c r="M81" i="3"/>
  <c r="M111" i="3"/>
  <c r="M121" i="3"/>
  <c r="M36" i="3"/>
  <c r="M77" i="3"/>
  <c r="M103" i="3"/>
  <c r="M98" i="3"/>
  <c r="M102" i="3"/>
  <c r="M67" i="3"/>
  <c r="M104" i="3"/>
  <c r="M58" i="3"/>
  <c r="M59" i="3"/>
  <c r="M35" i="3"/>
  <c r="M31" i="3"/>
  <c r="M52" i="3"/>
  <c r="M110" i="3"/>
  <c r="M62" i="3"/>
  <c r="M44" i="3"/>
  <c r="M50" i="3"/>
  <c r="M65" i="3"/>
  <c r="M45" i="3"/>
  <c r="M76" i="3"/>
  <c r="M71" i="3"/>
  <c r="M56" i="3"/>
  <c r="M90" i="3"/>
  <c r="M60" i="3"/>
  <c r="M47" i="3"/>
  <c r="M54" i="3"/>
  <c r="M118" i="3"/>
  <c r="M43" i="3"/>
  <c r="M46" i="3"/>
  <c r="M53" i="3"/>
  <c r="M116" i="3"/>
  <c r="M33" i="3"/>
  <c r="M46" i="1"/>
  <c r="M157" i="1"/>
  <c r="M169" i="1"/>
  <c r="M168" i="1"/>
  <c r="M164" i="1"/>
  <c r="M161" i="1"/>
  <c r="M185" i="1"/>
  <c r="M156" i="1"/>
  <c r="M148" i="1"/>
  <c r="M189" i="1"/>
  <c r="M163" i="1"/>
  <c r="M146" i="1"/>
  <c r="M188" i="1"/>
  <c r="M150" i="1"/>
  <c r="M152" i="1"/>
  <c r="M155" i="1"/>
  <c r="M165" i="1"/>
  <c r="M167" i="1"/>
  <c r="M171" i="1"/>
  <c r="M176" i="1"/>
  <c r="M192" i="1"/>
  <c r="M159" i="1"/>
  <c r="M160" i="1"/>
  <c r="M180" i="1"/>
  <c r="M151" i="1"/>
  <c r="M183" i="1"/>
  <c r="M179" i="1"/>
  <c r="M177" i="1"/>
  <c r="M174" i="1"/>
  <c r="M83" i="1"/>
  <c r="M178" i="1"/>
  <c r="M170" i="1"/>
  <c r="M187" i="1"/>
  <c r="M182" i="1"/>
  <c r="M173" i="1"/>
  <c r="M235" i="1"/>
  <c r="M239" i="1"/>
  <c r="M175" i="1"/>
  <c r="M153" i="1"/>
  <c r="M186" i="1"/>
  <c r="M191" i="1"/>
  <c r="M222" i="1"/>
  <c r="M234" i="1"/>
  <c r="M226" i="1"/>
  <c r="M228" i="1"/>
  <c r="M219" i="1"/>
  <c r="M230" i="1"/>
  <c r="M224" i="1"/>
  <c r="M229" i="1"/>
  <c r="M220" i="1"/>
  <c r="M130" i="1"/>
  <c r="M129" i="1"/>
  <c r="M199" i="1"/>
  <c r="M144" i="1"/>
  <c r="M85" i="1"/>
  <c r="M238" i="1"/>
  <c r="M149" i="1"/>
  <c r="M233" i="1"/>
  <c r="M223" i="1"/>
  <c r="M204" i="1"/>
  <c r="M237" i="1"/>
  <c r="M236" i="1"/>
  <c r="M143" i="1"/>
  <c r="M132" i="1"/>
  <c r="M136" i="1"/>
  <c r="M139" i="1"/>
  <c r="M196" i="1"/>
  <c r="M145" i="1"/>
  <c r="M133" i="1"/>
  <c r="M231" i="1"/>
  <c r="M141" i="1"/>
  <c r="M127" i="1"/>
  <c r="M134" i="1"/>
  <c r="M218" i="1"/>
  <c r="M126" i="1"/>
  <c r="M225" i="1"/>
  <c r="M142" i="1"/>
  <c r="M123" i="1"/>
  <c r="M138" i="1"/>
  <c r="M216" i="1"/>
  <c r="M200" i="1"/>
  <c r="M124" i="1"/>
  <c r="M213" i="1"/>
  <c r="M240" i="1"/>
  <c r="M202" i="1"/>
  <c r="M201" i="1"/>
  <c r="M232" i="1"/>
  <c r="M208" i="1"/>
  <c r="M227" i="1"/>
  <c r="M131" i="1"/>
  <c r="M128" i="1"/>
  <c r="M198" i="1"/>
  <c r="M215" i="1"/>
  <c r="M214" i="1"/>
  <c r="M184" i="1"/>
  <c r="M206" i="1"/>
  <c r="M205" i="1"/>
  <c r="M217" i="1"/>
  <c r="M195" i="1"/>
  <c r="M209" i="1"/>
  <c r="M125" i="1"/>
  <c r="M207" i="1"/>
  <c r="M197" i="1"/>
  <c r="M210" i="1"/>
  <c r="M221" i="1"/>
  <c r="M194" i="1"/>
  <c r="M147" i="1"/>
  <c r="M137" i="1"/>
  <c r="M211" i="1"/>
  <c r="M86" i="1"/>
  <c r="M39" i="1"/>
  <c r="M79" i="1"/>
  <c r="M162" i="1"/>
  <c r="M74" i="1"/>
  <c r="M44" i="1"/>
  <c r="M172" i="1"/>
  <c r="M212" i="1"/>
  <c r="M42" i="1"/>
  <c r="M48" i="1"/>
  <c r="M117" i="1"/>
  <c r="M45" i="1"/>
  <c r="M49" i="1"/>
  <c r="M37" i="1"/>
  <c r="M31" i="1"/>
  <c r="M90" i="1"/>
  <c r="M95" i="1"/>
  <c r="M81" i="1"/>
  <c r="M116" i="1"/>
  <c r="M82" i="1"/>
  <c r="M41" i="1"/>
  <c r="M40" i="1"/>
  <c r="M203" i="1"/>
  <c r="M120" i="1"/>
  <c r="M29" i="1"/>
  <c r="M91" i="1"/>
  <c r="M36" i="1"/>
  <c r="M75" i="1"/>
  <c r="M64" i="1"/>
  <c r="M28" i="1"/>
  <c r="M92" i="1"/>
  <c r="M78" i="1"/>
  <c r="M47" i="1"/>
  <c r="M89" i="1"/>
  <c r="M121" i="1"/>
  <c r="M34" i="1"/>
  <c r="M97" i="1"/>
  <c r="M38" i="1"/>
  <c r="M23" i="1"/>
  <c r="M84" i="1"/>
  <c r="M94" i="1"/>
  <c r="M30" i="1"/>
  <c r="M22" i="1"/>
  <c r="M19" i="1"/>
  <c r="M105" i="1"/>
  <c r="M80" i="1"/>
  <c r="M53" i="1"/>
  <c r="M111" i="1"/>
  <c r="M24" i="1"/>
  <c r="M115" i="1"/>
  <c r="M108" i="1"/>
  <c r="M118" i="1"/>
  <c r="M27" i="1"/>
  <c r="M93" i="1"/>
  <c r="M104" i="1"/>
  <c r="M18" i="1"/>
  <c r="M102" i="1"/>
  <c r="M107" i="1"/>
  <c r="M35" i="1"/>
  <c r="M43" i="1"/>
  <c r="M96" i="1"/>
  <c r="M61" i="1"/>
  <c r="M110" i="1"/>
  <c r="M119" i="1"/>
  <c r="M73" i="1"/>
  <c r="M10" i="1"/>
  <c r="M65" i="1"/>
  <c r="M101" i="1"/>
  <c r="M114" i="1"/>
  <c r="M99" i="1"/>
  <c r="M106" i="1"/>
  <c r="M113" i="1"/>
  <c r="M112" i="1"/>
  <c r="M25" i="1"/>
  <c r="M60" i="1"/>
  <c r="M6" i="1"/>
  <c r="M17" i="1"/>
  <c r="M16" i="1"/>
  <c r="M54" i="1"/>
  <c r="M69" i="1"/>
  <c r="M21" i="1"/>
  <c r="M62" i="1"/>
  <c r="M57" i="1"/>
  <c r="M12" i="1"/>
  <c r="M68" i="1"/>
  <c r="M56" i="1"/>
  <c r="M5" i="1"/>
  <c r="M9" i="1"/>
  <c r="M13" i="1"/>
  <c r="M52" i="1"/>
  <c r="M8" i="1"/>
  <c r="M66" i="1"/>
  <c r="M50" i="1"/>
  <c r="M58" i="1"/>
  <c r="M4" i="1"/>
  <c r="M67" i="1"/>
  <c r="M70" i="1"/>
  <c r="M55" i="1"/>
  <c r="M71" i="1"/>
  <c r="M59" i="1"/>
  <c r="M32" i="1"/>
  <c r="M2" i="1"/>
  <c r="M14" i="1"/>
  <c r="M76" i="1"/>
  <c r="M181" i="1"/>
  <c r="J140" i="1"/>
  <c r="M140" i="1"/>
  <c r="M154" i="1" l="1"/>
  <c r="M103" i="1"/>
  <c r="M158" i="1"/>
  <c r="M193" i="1"/>
  <c r="M190" i="1"/>
  <c r="M122" i="1"/>
  <c r="M135" i="1"/>
  <c r="M166" i="1"/>
  <c r="M241" i="1"/>
  <c r="M33" i="1"/>
  <c r="M3" i="1"/>
  <c r="M77" i="1"/>
  <c r="M100" i="1"/>
  <c r="M87" i="1"/>
  <c r="M20" i="1"/>
  <c r="M72" i="1"/>
  <c r="M88" i="1"/>
  <c r="M51" i="1"/>
  <c r="M15" i="1"/>
  <c r="M26" i="1"/>
  <c r="M109" i="1"/>
  <c r="M98" i="1"/>
  <c r="M63" i="1"/>
  <c r="M11" i="1"/>
  <c r="M7" i="1"/>
  <c r="I103" i="1" l="1"/>
</calcChain>
</file>

<file path=xl/sharedStrings.xml><?xml version="1.0" encoding="utf-8"?>
<sst xmlns="http://schemas.openxmlformats.org/spreadsheetml/2006/main" count="8242" uniqueCount="744">
  <si>
    <t>drug</t>
  </si>
  <si>
    <t>AUC.viability.drug.alone</t>
  </si>
  <si>
    <t>AUC.differentiation.drug.alone</t>
  </si>
  <si>
    <t>AUC.viability.with.BRQ</t>
  </si>
  <si>
    <t>AUC.differentiation.with.BRQ</t>
  </si>
  <si>
    <t>sensitization.for.viability</t>
  </si>
  <si>
    <t>sensitization.for.differentiation</t>
  </si>
  <si>
    <t>IC50.viability.drug.alone</t>
  </si>
  <si>
    <t>IC50.viability.with.BRQ</t>
  </si>
  <si>
    <t>Inf</t>
  </si>
  <si>
    <t>6-Azauridine</t>
  </si>
  <si>
    <t>3-Nitropropionic acid</t>
  </si>
  <si>
    <t>Acivicin</t>
  </si>
  <si>
    <t>(R)-(+)-Etomoxir sodium salt</t>
  </si>
  <si>
    <t>6-Mercaptopurine</t>
  </si>
  <si>
    <t>3,3?-Methylene-bis(4-hydroxy-coumarin)</t>
  </si>
  <si>
    <t>Actinonin</t>
  </si>
  <si>
    <t>1-Deoxynojirimycin</t>
  </si>
  <si>
    <t>6-Thioguanine</t>
  </si>
  <si>
    <t>3PO</t>
  </si>
  <si>
    <t>AEBSF</t>
  </si>
  <si>
    <t>17-AAG (Tanespimycin)</t>
  </si>
  <si>
    <t>Leflunomide</t>
  </si>
  <si>
    <t>4mu8C</t>
  </si>
  <si>
    <t>AGI-5198</t>
  </si>
  <si>
    <t>2-Deoxy-D-glucose</t>
  </si>
  <si>
    <t>A922500</t>
  </si>
  <si>
    <t>5-Fluorouracil</t>
  </si>
  <si>
    <t>AGI-6780</t>
  </si>
  <si>
    <t>2-Methoxyestradiol</t>
  </si>
  <si>
    <t>ABT-737</t>
  </si>
  <si>
    <t>6-Aminonicotinamide</t>
  </si>
  <si>
    <t>AICAR</t>
  </si>
  <si>
    <t>Allopurinol Sodium</t>
  </si>
  <si>
    <t>Avasimibe</t>
  </si>
  <si>
    <t>Apigenin</t>
  </si>
  <si>
    <t>BRD56491</t>
  </si>
  <si>
    <t>Alrestatin</t>
  </si>
  <si>
    <t>Azaserine</t>
  </si>
  <si>
    <t>AR-C155858</t>
  </si>
  <si>
    <t>Brequinar sodium salt hydrate</t>
  </si>
  <si>
    <t>Amifostine trihydrate</t>
  </si>
  <si>
    <t>beta-Lapachone</t>
  </si>
  <si>
    <t>Artemisinin</t>
  </si>
  <si>
    <t>Bromopyruvic acid</t>
  </si>
  <si>
    <t>Aminooxyacetate</t>
  </si>
  <si>
    <t>Betulinic acid</t>
  </si>
  <si>
    <t>Artesunate</t>
  </si>
  <si>
    <t>Butenafine HCl</t>
  </si>
  <si>
    <t>Anastrozole</t>
  </si>
  <si>
    <t>BPTES</t>
  </si>
  <si>
    <t>Aspirin</t>
  </si>
  <si>
    <t>C 75</t>
  </si>
  <si>
    <t>Antimycin A</t>
  </si>
  <si>
    <t>BMS 309403</t>
  </si>
  <si>
    <t>Auranofin</t>
  </si>
  <si>
    <t>Canagliflozin</t>
  </si>
  <si>
    <t>Castanospermine</t>
  </si>
  <si>
    <t>Cyclopentenyl cytosine</t>
  </si>
  <si>
    <t>CHC</t>
  </si>
  <si>
    <t>Diphenyleneiodonium chloride</t>
  </si>
  <si>
    <t>CCCP</t>
  </si>
  <si>
    <t>Dapagliflozin</t>
  </si>
  <si>
    <t>Chloramphenicol</t>
  </si>
  <si>
    <t>Dipyridamole</t>
  </si>
  <si>
    <t>CD 437</t>
  </si>
  <si>
    <t>DCA</t>
  </si>
  <si>
    <t>Chlorogenic acid</t>
  </si>
  <si>
    <t>Disulfiram</t>
  </si>
  <si>
    <t>Celecoxib</t>
  </si>
  <si>
    <t>Zalcitabine</t>
  </si>
  <si>
    <t>CHR 2797</t>
  </si>
  <si>
    <t>DL-?-difluoromethylornithine (hydrochloride hydrate)</t>
  </si>
  <si>
    <t>Cerulenin</t>
  </si>
  <si>
    <t>Digitoxin</t>
  </si>
  <si>
    <t>CJ-13610</t>
  </si>
  <si>
    <t>DMF</t>
  </si>
  <si>
    <t>CGP-37157</t>
  </si>
  <si>
    <t>Dimesna</t>
  </si>
  <si>
    <t>Cladribine</t>
  </si>
  <si>
    <t>2,4-Dinitrophenol</t>
  </si>
  <si>
    <t>Dorsomorphin dihydrochloride</t>
  </si>
  <si>
    <t>Finasteride</t>
  </si>
  <si>
    <t>Ethidium Bromide</t>
  </si>
  <si>
    <t>Gemcitabine hydrochloride</t>
  </si>
  <si>
    <t>Dorzolamide</t>
  </si>
  <si>
    <t>Fingolimod (FTY720) HCl</t>
  </si>
  <si>
    <t>Fatostatin A</t>
  </si>
  <si>
    <t>Gossypol</t>
  </si>
  <si>
    <t>Empagliflozin</t>
  </si>
  <si>
    <t>FK 866 hydrochloride</t>
  </si>
  <si>
    <t>FCCP</t>
  </si>
  <si>
    <t>GPP 78 hydrochloride</t>
  </si>
  <si>
    <t>Elesclomol</t>
  </si>
  <si>
    <t>Fludarabine</t>
  </si>
  <si>
    <t>Febuxostat</t>
  </si>
  <si>
    <t>GSK 2194069</t>
  </si>
  <si>
    <t>(-)-Epigallocatechin Gallate</t>
  </si>
  <si>
    <t>Fluoxetine hydrochloride</t>
  </si>
  <si>
    <t>Fedratinib (SAR302503, TG101348)</t>
  </si>
  <si>
    <t>GSK2656157</t>
  </si>
  <si>
    <t>Erastin</t>
  </si>
  <si>
    <t>Fomepizole</t>
  </si>
  <si>
    <t>Fenretinide</t>
  </si>
  <si>
    <t>Hispidulin</t>
  </si>
  <si>
    <t>Hydroxyurea</t>
  </si>
  <si>
    <t>Metformin hydrochloride</t>
  </si>
  <si>
    <t>Lapachol</t>
  </si>
  <si>
    <t>Miglustat hydrochloride</t>
  </si>
  <si>
    <t>Isotretinoin</t>
  </si>
  <si>
    <t>Methotrexate</t>
  </si>
  <si>
    <t>LCS-1</t>
  </si>
  <si>
    <t>Mitotane (Lysodren)</t>
  </si>
  <si>
    <t>JZL184</t>
  </si>
  <si>
    <t>(ÔøΩ)-Jasmonic Acid methyl ester</t>
  </si>
  <si>
    <t>Linezolid</t>
  </si>
  <si>
    <t>Mizoribine</t>
  </si>
  <si>
    <t>Ketoconazole</t>
  </si>
  <si>
    <t>Methylmalonate</t>
  </si>
  <si>
    <t>Meclizine 2HCl</t>
  </si>
  <si>
    <t>ML 171</t>
  </si>
  <si>
    <t>Kifunensine</t>
  </si>
  <si>
    <t>Metyrapone</t>
  </si>
  <si>
    <t>Mefloquine HCl</t>
  </si>
  <si>
    <t>ML 240</t>
  </si>
  <si>
    <t>L-Canaline</t>
  </si>
  <si>
    <t>Miglitol</t>
  </si>
  <si>
    <t>Menadione</t>
  </si>
  <si>
    <t>ML309 HCl</t>
  </si>
  <si>
    <t>Mycophenolic Acid</t>
  </si>
  <si>
    <t>TAK-700 (Orteronel)</t>
  </si>
  <si>
    <t>NPP</t>
  </si>
  <si>
    <t>Phenformin Hcl</t>
  </si>
  <si>
    <t>N,N-Dimethylsphingosine</t>
  </si>
  <si>
    <t>PABA-NO</t>
  </si>
  <si>
    <t>AEM1</t>
  </si>
  <si>
    <t>Pioglitazone HCl</t>
  </si>
  <si>
    <t>ABT-263 (Navitoclax)</t>
  </si>
  <si>
    <t>Phenethyl isothiocyanate</t>
  </si>
  <si>
    <t>Olaparib (AZD2281, Ku-0059436)</t>
  </si>
  <si>
    <t>Piperlongumine</t>
  </si>
  <si>
    <t>NCGC00188636</t>
  </si>
  <si>
    <t>Pentostatin</t>
  </si>
  <si>
    <t>Oleylethanolamide</t>
  </si>
  <si>
    <t>PK 11195</t>
  </si>
  <si>
    <t>Nitisinone</t>
  </si>
  <si>
    <t>PF 4981517</t>
  </si>
  <si>
    <t>Oligomycin A</t>
  </si>
  <si>
    <t>Plumbagin</t>
  </si>
  <si>
    <t>Nomifensine maleate</t>
  </si>
  <si>
    <t>PF-04620110</t>
  </si>
  <si>
    <t>Orlistat</t>
  </si>
  <si>
    <t>PluriSln 1</t>
  </si>
  <si>
    <t>Pravastatin sodium salt</t>
  </si>
  <si>
    <t>Rotenone</t>
  </si>
  <si>
    <t>Ranolazine dihydrochloride</t>
  </si>
  <si>
    <t>Spautin 1</t>
  </si>
  <si>
    <t>PX 12</t>
  </si>
  <si>
    <t>Rottlerin</t>
  </si>
  <si>
    <t>Resveratrol</t>
  </si>
  <si>
    <t>STF 31</t>
  </si>
  <si>
    <t>Pyrazofurin</t>
  </si>
  <si>
    <t>SB 204990</t>
  </si>
  <si>
    <t>Voglibose</t>
  </si>
  <si>
    <t>Streptozocin</t>
  </si>
  <si>
    <t>Pyrimethamine</t>
  </si>
  <si>
    <t>SC 26196</t>
  </si>
  <si>
    <t>Ro 48-8071 fumarate</t>
  </si>
  <si>
    <t>Sulfasalazine</t>
  </si>
  <si>
    <t>Pyrvinium pamoate salt hydrate</t>
  </si>
  <si>
    <t>SKI II</t>
  </si>
  <si>
    <t>Rosiglitazone HCl</t>
  </si>
  <si>
    <t>Sulforaphane</t>
  </si>
  <si>
    <t>Raltitrexed</t>
  </si>
  <si>
    <t>Sodium Azide</t>
  </si>
  <si>
    <t>Rosuvastatin Calcium</t>
  </si>
  <si>
    <t>Sulindac</t>
  </si>
  <si>
    <t>Swainsonine</t>
  </si>
  <si>
    <t>Tunicamycin</t>
  </si>
  <si>
    <t>Thapsigargin</t>
  </si>
  <si>
    <t>Xanthohumol</t>
  </si>
  <si>
    <t>TC-G 1005</t>
  </si>
  <si>
    <t>U-104</t>
  </si>
  <si>
    <t>Tolcapone</t>
  </si>
  <si>
    <t>Zileuton</t>
  </si>
  <si>
    <t>Telintra</t>
  </si>
  <si>
    <t>Valproic acid, sodium salt</t>
  </si>
  <si>
    <t>Torcetrapib</t>
  </si>
  <si>
    <t>Actinomycin D</t>
  </si>
  <si>
    <t>TEPP-46</t>
  </si>
  <si>
    <t>VAS2870</t>
  </si>
  <si>
    <t>Toyocamycin</t>
  </si>
  <si>
    <t>Taxol</t>
  </si>
  <si>
    <t>Terbinafine HCl</t>
  </si>
  <si>
    <t>Venlafaxine hydrochloride</t>
  </si>
  <si>
    <t>Tretinoin</t>
  </si>
  <si>
    <t>Vincristine sulfate</t>
  </si>
  <si>
    <t>Teriflunomide</t>
  </si>
  <si>
    <t>WWL 113</t>
  </si>
  <si>
    <t>Triclosan</t>
  </si>
  <si>
    <t>Mercaptopurine</t>
  </si>
  <si>
    <t>[6]-Gingerol</t>
  </si>
  <si>
    <t>Bumetanide</t>
  </si>
  <si>
    <t>AG-221</t>
  </si>
  <si>
    <t>Chaetocin</t>
  </si>
  <si>
    <t>1S,3R-RSL3</t>
  </si>
  <si>
    <t>CB-5083</t>
  </si>
  <si>
    <t>AP-III-a4 (ENOblock) hydrochloride</t>
  </si>
  <si>
    <t>CPI-613</t>
  </si>
  <si>
    <t>2-AAPA hydrate</t>
  </si>
  <si>
    <t>CB-839</t>
  </si>
  <si>
    <t>ATN-224</t>
  </si>
  <si>
    <t>Curcumin</t>
  </si>
  <si>
    <t>Aceclofenac (Diclofenac)</t>
  </si>
  <si>
    <t>CBR 5884</t>
  </si>
  <si>
    <t>Aurothioglucose</t>
  </si>
  <si>
    <t>DASA-58</t>
  </si>
  <si>
    <t>Adaptaquin</t>
  </si>
  <si>
    <t>CCF642</t>
  </si>
  <si>
    <t>AZD3965</t>
  </si>
  <si>
    <t>Deferiprone</t>
  </si>
  <si>
    <t>AG-120; AG 120; AG120</t>
  </si>
  <si>
    <t>Cetilistat</t>
  </si>
  <si>
    <t>BMS-303141</t>
  </si>
  <si>
    <t>Ebselen</t>
  </si>
  <si>
    <t>Eeyarestatin I</t>
  </si>
  <si>
    <t>NCT-503</t>
  </si>
  <si>
    <t>Ezatiostat</t>
  </si>
  <si>
    <t>ND-630</t>
  </si>
  <si>
    <t>Furosemide</t>
  </si>
  <si>
    <t>ONC-201</t>
  </si>
  <si>
    <t>GGsTop</t>
  </si>
  <si>
    <t>Parthenolide</t>
  </si>
  <si>
    <t>Ipragliflozin</t>
  </si>
  <si>
    <t>PF 05175157</t>
  </si>
  <si>
    <t>Lesinurad</t>
  </si>
  <si>
    <t>Physcion</t>
  </si>
  <si>
    <t>Lonidamine</t>
  </si>
  <si>
    <t>PR-619</t>
  </si>
  <si>
    <t>PF 429242</t>
  </si>
  <si>
    <t>Shogaol</t>
  </si>
  <si>
    <t>MKC3946</t>
  </si>
  <si>
    <t>TMS</t>
  </si>
  <si>
    <t>ML-162</t>
  </si>
  <si>
    <t>TOFA</t>
  </si>
  <si>
    <t>ML210</t>
  </si>
  <si>
    <t>Tofogliflozin hydrate</t>
  </si>
  <si>
    <t>ML240</t>
  </si>
  <si>
    <t>Lometrexol hydrate</t>
  </si>
  <si>
    <t>Item_Name</t>
  </si>
  <si>
    <t>Pathway</t>
  </si>
  <si>
    <t>Isaac Target</t>
  </si>
  <si>
    <t>Target</t>
  </si>
  <si>
    <t>From</t>
  </si>
  <si>
    <t>To</t>
  </si>
  <si>
    <t>Species</t>
  </si>
  <si>
    <t>Gene Name</t>
  </si>
  <si>
    <t>SC_26196</t>
  </si>
  <si>
    <t>Lipid</t>
  </si>
  <si>
    <t>_6desaturase</t>
  </si>
  <si>
    <t>blue</t>
  </si>
  <si>
    <t>FADS2</t>
  </si>
  <si>
    <t>Homo sapiens</t>
  </si>
  <si>
    <t>fatty acid desaturase 2</t>
  </si>
  <si>
    <t>ACAT</t>
  </si>
  <si>
    <t>SOAT1</t>
  </si>
  <si>
    <t>sterol O-acyltransferase 1</t>
  </si>
  <si>
    <t>ND_630</t>
  </si>
  <si>
    <t>ACC1_2</t>
  </si>
  <si>
    <t>ACACA</t>
  </si>
  <si>
    <t>acetyl-CoA carboxylase alpha</t>
  </si>
  <si>
    <t>PF05175157</t>
  </si>
  <si>
    <t>SB_204990</t>
  </si>
  <si>
    <t>ACLY</t>
  </si>
  <si>
    <t>ATP citrate lyase(ACLY)</t>
  </si>
  <si>
    <t>BMS_303141</t>
  </si>
  <si>
    <t>Detoxification</t>
  </si>
  <si>
    <t>ADH1</t>
  </si>
  <si>
    <t>ADH1A</t>
  </si>
  <si>
    <t>alcohol dehydrogenase 1A (class I), alpha polypeptide</t>
  </si>
  <si>
    <t>AKR1B1</t>
  </si>
  <si>
    <t>aldo-keto reductase family 1 member B(AKR1B1)</t>
  </si>
  <si>
    <t>ALDH</t>
  </si>
  <si>
    <t>ALDH1A1</t>
  </si>
  <si>
    <t>aldehyde dehydrogenase 1 family member A1</t>
  </si>
  <si>
    <t>CJ_13610</t>
  </si>
  <si>
    <t>ALOX5</t>
  </si>
  <si>
    <t>arachidonate 5-lipoxygenase(ALOX5)</t>
  </si>
  <si>
    <t>CHR_2797</t>
  </si>
  <si>
    <t>AminoAcid</t>
  </si>
  <si>
    <t>Aminopeptidase</t>
  </si>
  <si>
    <t>NPEPPS</t>
  </si>
  <si>
    <t>aminopeptidase puromycin sensitive</t>
  </si>
  <si>
    <t>AMPK</t>
  </si>
  <si>
    <t>AMP</t>
  </si>
  <si>
    <t>PRKAA1</t>
  </si>
  <si>
    <t>protein kinase AMP-activated catalytic subunit alpha 1</t>
  </si>
  <si>
    <t>Dorsomorphin</t>
  </si>
  <si>
    <t>Pyrvinium_pamoate</t>
  </si>
  <si>
    <t>Hormone</t>
  </si>
  <si>
    <t>AR</t>
  </si>
  <si>
    <t>CETP</t>
  </si>
  <si>
    <t>cholesteryl ester transfer protein(CETP)</t>
  </si>
  <si>
    <t>Redoxhomeostasis</t>
  </si>
  <si>
    <t>ATF4_HIF</t>
  </si>
  <si>
    <t>EGLN1</t>
  </si>
  <si>
    <t>egl-9 family hypoxia inducible factor 1</t>
  </si>
  <si>
    <t>Oligomycin_A</t>
  </si>
  <si>
    <t>Mitochondria</t>
  </si>
  <si>
    <t>ATPsynthase</t>
  </si>
  <si>
    <t>ATP5MC1</t>
  </si>
  <si>
    <t>ATP synthase membrane subunit c locus 1</t>
  </si>
  <si>
    <t>ABT_737</t>
  </si>
  <si>
    <t>BCL_2__XL</t>
  </si>
  <si>
    <t>BCL2</t>
  </si>
  <si>
    <t>BCL2, apoptosis regulator</t>
  </si>
  <si>
    <t>ABT_263</t>
  </si>
  <si>
    <t>Hypoxia</t>
  </si>
  <si>
    <t>CAII</t>
  </si>
  <si>
    <t>CA2</t>
  </si>
  <si>
    <t>carbonic anhydrase 2</t>
  </si>
  <si>
    <t>U_104</t>
  </si>
  <si>
    <t>CAIX</t>
  </si>
  <si>
    <t>CA9</t>
  </si>
  <si>
    <t>carbonic anhydrase 9</t>
  </si>
  <si>
    <t>WWL_113</t>
  </si>
  <si>
    <t>CES</t>
  </si>
  <si>
    <t>CES1</t>
  </si>
  <si>
    <t>carboxylesterase 1</t>
  </si>
  <si>
    <t>Metformin</t>
  </si>
  <si>
    <t>ComplexI</t>
  </si>
  <si>
    <t>NDUFS1</t>
  </si>
  <si>
    <t>NADH:ubiquinone oxidoreductase core subunit S1</t>
  </si>
  <si>
    <t>Phenformin</t>
  </si>
  <si>
    <t>3_Nitropropionic_acid</t>
  </si>
  <si>
    <t>ComplexII</t>
  </si>
  <si>
    <t>SDHA</t>
  </si>
  <si>
    <t>succinate dehydrogenase complex flavoprotein subunit A</t>
  </si>
  <si>
    <t>Antimycin_A</t>
  </si>
  <si>
    <t>ComplexIII</t>
  </si>
  <si>
    <t>UQCRC1</t>
  </si>
  <si>
    <t>ubiquinol-cytochrome c reductase core protein 1</t>
  </si>
  <si>
    <t>Sodium_Azide</t>
  </si>
  <si>
    <t>ComplexIV</t>
  </si>
  <si>
    <t>COX8A</t>
  </si>
  <si>
    <t>cytochrome c oxidase subunit 8A</t>
  </si>
  <si>
    <t>COMT</t>
  </si>
  <si>
    <t>catechol-O-methyltransferase(COMT)</t>
  </si>
  <si>
    <t>Cortisol</t>
  </si>
  <si>
    <t>CYP11B1</t>
  </si>
  <si>
    <t>cytochrome P450 family 11 subfamily B member 1</t>
  </si>
  <si>
    <t>COX1_2</t>
  </si>
  <si>
    <t>MT-CO1</t>
  </si>
  <si>
    <t>mitochondrially encoded cytochrome c oxidase I</t>
  </si>
  <si>
    <t>COX2</t>
  </si>
  <si>
    <t>cytochrome c oxidase subunit II(COX2)</t>
  </si>
  <si>
    <t>(R)_(+)_Etomoxir_sodium_salt</t>
  </si>
  <si>
    <t>CPT1</t>
  </si>
  <si>
    <t>CPT1A</t>
  </si>
  <si>
    <t>carnitine palmitoyltransferase 1A</t>
  </si>
  <si>
    <t>Cyclopentenyl_cytosine</t>
  </si>
  <si>
    <t>NucleotideMetabolism</t>
  </si>
  <si>
    <t>Cytidine</t>
  </si>
  <si>
    <t>CTPS</t>
  </si>
  <si>
    <t>red</t>
  </si>
  <si>
    <t>CTPS1</t>
  </si>
  <si>
    <t>CTP synthase 1</t>
  </si>
  <si>
    <t>Mitotane</t>
  </si>
  <si>
    <t>Detooxification</t>
  </si>
  <si>
    <t>cytochrome P450 family 11 subfamily B member 1(CYP11B1)</t>
  </si>
  <si>
    <t>TAK_700</t>
  </si>
  <si>
    <t>CYP17A1</t>
  </si>
  <si>
    <t>cytochrome P450 family 17 subfamily A member 1(CYP17A1)</t>
  </si>
  <si>
    <t>CYP19A1</t>
  </si>
  <si>
    <t>cytochrome P450 family 19 subfamily A member 1(CYP19A1)</t>
  </si>
  <si>
    <t>CYP1A1</t>
  </si>
  <si>
    <t>cytochrome P450 family 1 subfamily A member 1(CYP1A1)</t>
  </si>
  <si>
    <t>CYP2C9</t>
  </si>
  <si>
    <t>cytochrome P450 family 2 subfamily C member 9</t>
  </si>
  <si>
    <t>CYP3A4</t>
  </si>
  <si>
    <t>cytochrome P450 family 3 subfamily A member 4(CYP3A4)</t>
  </si>
  <si>
    <t>PF_4981517</t>
  </si>
  <si>
    <t>n/a</t>
  </si>
  <si>
    <t>Gemcitabine</t>
  </si>
  <si>
    <t>POLA1</t>
  </si>
  <si>
    <t>DNA polymerase alpha 1, catalytic subunit</t>
  </si>
  <si>
    <t>DGAT1</t>
  </si>
  <si>
    <t>diacylglycerol O-acyltransferase 1(DGAT1)</t>
  </si>
  <si>
    <t>PF_04620110</t>
  </si>
  <si>
    <t>DHFR</t>
  </si>
  <si>
    <t>dihydrofolate reductase(DHFR)</t>
  </si>
  <si>
    <t>DHODH</t>
  </si>
  <si>
    <t>dihydroorotate dehydrogenase (quinone)(DHODH)</t>
  </si>
  <si>
    <t>Brequinar</t>
  </si>
  <si>
    <t>DHT</t>
  </si>
  <si>
    <t>SRD5A1</t>
  </si>
  <si>
    <t>steroid 5 alpha-reductase 1</t>
  </si>
  <si>
    <t>Actinomycin_D</t>
  </si>
  <si>
    <t>PositiveControl</t>
  </si>
  <si>
    <t>DNAsynthesis</t>
  </si>
  <si>
    <t>POLR2E</t>
  </si>
  <si>
    <t>RNA polymerase II subunit E</t>
  </si>
  <si>
    <t>TUBB</t>
  </si>
  <si>
    <t xml:space="preserve"> tubulin beta class I </t>
  </si>
  <si>
    <t>Vincristine_sulfate</t>
  </si>
  <si>
    <t>Spautin_1</t>
  </si>
  <si>
    <t>Autophagy_ERstress</t>
  </si>
  <si>
    <t>DUB</t>
  </si>
  <si>
    <t>USP10</t>
  </si>
  <si>
    <t>ubiquitin specific peptidase 10</t>
  </si>
  <si>
    <t>PR_619</t>
  </si>
  <si>
    <t>OTUD1</t>
  </si>
  <si>
    <t>OTU deubiquitinase 1</t>
  </si>
  <si>
    <t>AP_III_a4</t>
  </si>
  <si>
    <t>Glycolysis</t>
  </si>
  <si>
    <t>Enolase</t>
  </si>
  <si>
    <t>ENO1</t>
  </si>
  <si>
    <t>enolase 1</t>
  </si>
  <si>
    <t>BMS_309403</t>
  </si>
  <si>
    <t>FABP4</t>
  </si>
  <si>
    <t>fatty acid binding protein 4(FABP4)</t>
  </si>
  <si>
    <t>C_75</t>
  </si>
  <si>
    <t>FAS</t>
  </si>
  <si>
    <t>Fas cell surface death receptor(FAS)</t>
  </si>
  <si>
    <t>GSK_2194069</t>
  </si>
  <si>
    <t>6_Aminonicotinamide</t>
  </si>
  <si>
    <t>G6PD</t>
  </si>
  <si>
    <t>glucose-6-phosphate dehydrogenase(G6PD)</t>
  </si>
  <si>
    <t>GABAreceptor</t>
  </si>
  <si>
    <t>Lometrexol</t>
  </si>
  <si>
    <t>Nucleotide_Metabolism</t>
  </si>
  <si>
    <t>GART</t>
  </si>
  <si>
    <t>phosphoribosylglycinamide formyltransferase, phosphoribosylglycinamide synthetase, phosphoribosylaminoimidazole synthetase(GART)</t>
  </si>
  <si>
    <t>EGCG</t>
  </si>
  <si>
    <t>Glutaminolysis</t>
  </si>
  <si>
    <t>GDH</t>
  </si>
  <si>
    <t>GLUD1</t>
  </si>
  <si>
    <t>glutamate dehydrogenase 1</t>
  </si>
  <si>
    <t>GGT</t>
  </si>
  <si>
    <t>GGT1</t>
  </si>
  <si>
    <t>gamma-glutamyltransferase 1</t>
  </si>
  <si>
    <t>GLS</t>
  </si>
  <si>
    <t>glutaminase(GLS)</t>
  </si>
  <si>
    <t>CB_839</t>
  </si>
  <si>
    <t>1_Deoxynojirimycin</t>
  </si>
  <si>
    <t>GlucoseMetabolism</t>
  </si>
  <si>
    <t>Glucosidase</t>
  </si>
  <si>
    <t>MGAM</t>
  </si>
  <si>
    <t>maltase-glucoamylase</t>
  </si>
  <si>
    <t>Miglustat</t>
  </si>
  <si>
    <t>UGCG</t>
  </si>
  <si>
    <t>UDP-glucose ceramide glucosyltransferase</t>
  </si>
  <si>
    <t>Glycosylation</t>
  </si>
  <si>
    <t>GNPTAB</t>
  </si>
  <si>
    <t>N-acetylglucosamine-1-phosphate transferase subunits alpha and beta</t>
  </si>
  <si>
    <t>1S,3R_RSL3</t>
  </si>
  <si>
    <t>GPX4</t>
  </si>
  <si>
    <t>glutathione peroxidase 4(GPX4)</t>
  </si>
  <si>
    <t>ML_162</t>
  </si>
  <si>
    <t>ML_210</t>
  </si>
  <si>
    <t>Dimethylfumarate</t>
  </si>
  <si>
    <t>GSH</t>
  </si>
  <si>
    <t>GAPDH</t>
  </si>
  <si>
    <t>glyceraldehyde-3-phosphate dehydrogenase</t>
  </si>
  <si>
    <t>2_AAPAhydrate</t>
  </si>
  <si>
    <t>GSR</t>
  </si>
  <si>
    <t>glutathione-disulfide reductase</t>
  </si>
  <si>
    <t>GST</t>
  </si>
  <si>
    <t>GSTp1</t>
  </si>
  <si>
    <t>GSTP1</t>
  </si>
  <si>
    <t>glutathione S-transferase pi 1(GSTP1)</t>
  </si>
  <si>
    <t>HIF1A</t>
  </si>
  <si>
    <t>hypoxia inducible factor 1 alpha subunit(HIF1A)</t>
  </si>
  <si>
    <t>Meclizine</t>
  </si>
  <si>
    <t>Histamine</t>
  </si>
  <si>
    <t>CHRM1</t>
  </si>
  <si>
    <t>cholinergic receptor muscarinic 1</t>
  </si>
  <si>
    <t>2_DG</t>
  </si>
  <si>
    <t>HK</t>
  </si>
  <si>
    <t>HK1</t>
  </si>
  <si>
    <t>hexokinase 1</t>
  </si>
  <si>
    <t>Bromopyruvic_acid</t>
  </si>
  <si>
    <t>Jasmonate</t>
  </si>
  <si>
    <t>Pravastatin</t>
  </si>
  <si>
    <t>HMGCR</t>
  </si>
  <si>
    <t>3-hydroxy-3-methylglutaryl-CoA reductase(HMGCR)</t>
  </si>
  <si>
    <t>Rosuvastatin</t>
  </si>
  <si>
    <t>HPPD</t>
  </si>
  <si>
    <t>Hypertelorism, preauricular sinus, punctal pits, and deafness(HPPD)</t>
  </si>
  <si>
    <t>17_AAG</t>
  </si>
  <si>
    <t>HSP90</t>
  </si>
  <si>
    <t>HSP90AA1</t>
  </si>
  <si>
    <t>heat shock protein 90 alpha family class A member 1</t>
  </si>
  <si>
    <t>AGI_5198</t>
  </si>
  <si>
    <t>MutantIDH</t>
  </si>
  <si>
    <t>IDH1_R132H</t>
  </si>
  <si>
    <t>IDH1</t>
  </si>
  <si>
    <t xml:space="preserve">isocitrate dehydrogenase (NADP(+)) 1, cytosolic </t>
  </si>
  <si>
    <t>ML309</t>
  </si>
  <si>
    <t>AG_120</t>
  </si>
  <si>
    <t>AGI_6780</t>
  </si>
  <si>
    <t>IDH2_R140Q</t>
  </si>
  <si>
    <t>IDH2</t>
  </si>
  <si>
    <t>isocitrate dehydrogenase (NADP(+)) 2, mitochondrial</t>
  </si>
  <si>
    <t>AG_221</t>
  </si>
  <si>
    <t>6_Mercaptopurine</t>
  </si>
  <si>
    <t>Purine</t>
  </si>
  <si>
    <t>IMPDH</t>
  </si>
  <si>
    <t>IMPDH1</t>
  </si>
  <si>
    <t>inosine monophosphate dehydrogenase 1</t>
  </si>
  <si>
    <t>6_Thioguanine</t>
  </si>
  <si>
    <t>IMP</t>
  </si>
  <si>
    <t>Mycophenolic_Acid</t>
  </si>
  <si>
    <t>Valproic_acid</t>
  </si>
  <si>
    <t>Inositol</t>
  </si>
  <si>
    <t>IMPA1</t>
  </si>
  <si>
    <t>inositol monophosphatase 1</t>
  </si>
  <si>
    <t>Pioglitazone</t>
  </si>
  <si>
    <t>Metabolitetransport</t>
  </si>
  <si>
    <t>Insulin</t>
  </si>
  <si>
    <t>PPARG</t>
  </si>
  <si>
    <t>peroxisome proliferator activated receptor gamm</t>
  </si>
  <si>
    <t>IRE1</t>
  </si>
  <si>
    <t>ERN1</t>
  </si>
  <si>
    <t>endoplasmic reticulum to nucleus signaling 1</t>
  </si>
  <si>
    <t>Iron</t>
  </si>
  <si>
    <t>LDH</t>
  </si>
  <si>
    <t>LDHC</t>
  </si>
  <si>
    <t xml:space="preserve">lactate dehydrogenase C </t>
  </si>
  <si>
    <t>Lipases</t>
  </si>
  <si>
    <t>PNLIP</t>
  </si>
  <si>
    <t>pancreatic lipase</t>
  </si>
  <si>
    <t>Mefloquine</t>
  </si>
  <si>
    <t>Lysosomes</t>
  </si>
  <si>
    <t>MAGL</t>
  </si>
  <si>
    <t>MGLL</t>
  </si>
  <si>
    <t>monoglyceride lipase</t>
  </si>
  <si>
    <t>Mannosidase</t>
  </si>
  <si>
    <t>MAN1B1</t>
  </si>
  <si>
    <t>mannosidase alpha class 1B member 1</t>
  </si>
  <si>
    <t>MAN2A1</t>
  </si>
  <si>
    <t>mannosidase alpha class 2A member 1</t>
  </si>
  <si>
    <t>TC_G_1005</t>
  </si>
  <si>
    <t>GPBAR1</t>
  </si>
  <si>
    <t>G protein-coupled bile acid receptor 1</t>
  </si>
  <si>
    <t>Diclofenac</t>
  </si>
  <si>
    <t>MCT</t>
  </si>
  <si>
    <t>SLC16A1</t>
  </si>
  <si>
    <t>solute carrier family 16 member 1</t>
  </si>
  <si>
    <t>AR_C155858</t>
  </si>
  <si>
    <t>MCT1</t>
  </si>
  <si>
    <t>ONC_201</t>
  </si>
  <si>
    <t>POLG</t>
  </si>
  <si>
    <t>DNA polymerase gamma, catalytic subunit</t>
  </si>
  <si>
    <t>Ethidium_Bromide</t>
  </si>
  <si>
    <t>mtDNA</t>
  </si>
  <si>
    <t>FK_866</t>
  </si>
  <si>
    <t>NADMetabolism</t>
  </si>
  <si>
    <t>NAMPT</t>
  </si>
  <si>
    <t>nicotinamide phosphoribosyltransferase(NAMPT)</t>
  </si>
  <si>
    <t>GPP_78</t>
  </si>
  <si>
    <t>STF_31</t>
  </si>
  <si>
    <t>Nomifensine</t>
  </si>
  <si>
    <t>NET_DAT</t>
  </si>
  <si>
    <t>PABA_NO</t>
  </si>
  <si>
    <t>NO</t>
  </si>
  <si>
    <t>Diphenyleneiodonium_chloride</t>
  </si>
  <si>
    <t>NOS</t>
  </si>
  <si>
    <t>NOX</t>
  </si>
  <si>
    <t>ML_171</t>
  </si>
  <si>
    <t>NOX1</t>
  </si>
  <si>
    <t>NADPH oxidase 1(NOX1)</t>
  </si>
  <si>
    <t>NOX2</t>
  </si>
  <si>
    <t>CYBB</t>
  </si>
  <si>
    <t>cytochrome b-245 beta chain</t>
  </si>
  <si>
    <t>Dicoumarol</t>
  </si>
  <si>
    <t>NQO1</t>
  </si>
  <si>
    <t>NAD(P)H quinone dehydrogenase 1(NQO1)</t>
  </si>
  <si>
    <t>beta_Lapachone</t>
  </si>
  <si>
    <t>L_Canaline</t>
  </si>
  <si>
    <t>OAT</t>
  </si>
  <si>
    <t>ornithine aminotransferase(OAT)</t>
  </si>
  <si>
    <t>DL___difluoromethylornithine(hydrochloridehydrate)</t>
  </si>
  <si>
    <t>Glutamine</t>
  </si>
  <si>
    <t>ODC</t>
  </si>
  <si>
    <t>ODC1</t>
  </si>
  <si>
    <t>ornithine decarboxylase 1</t>
  </si>
  <si>
    <t>Ro_48_8071</t>
  </si>
  <si>
    <t>OSC</t>
  </si>
  <si>
    <t>LSS</t>
  </si>
  <si>
    <t>lanosterol synthase</t>
  </si>
  <si>
    <t>p97_VCP</t>
  </si>
  <si>
    <t>VCP</t>
  </si>
  <si>
    <t>valosin containing protein</t>
  </si>
  <si>
    <t>ML_240</t>
  </si>
  <si>
    <t>p97ATPase</t>
  </si>
  <si>
    <t>CB_5083</t>
  </si>
  <si>
    <t>Eeyarestatin_I</t>
  </si>
  <si>
    <t>Olaparib</t>
  </si>
  <si>
    <t>PARP</t>
  </si>
  <si>
    <t>PARP1</t>
  </si>
  <si>
    <t>poly(ADP-ribose) polymerase 1</t>
  </si>
  <si>
    <t>PK_11195</t>
  </si>
  <si>
    <t>PBR</t>
  </si>
  <si>
    <t>TSPO</t>
  </si>
  <si>
    <t>translocator protein</t>
  </si>
  <si>
    <t>PDE</t>
  </si>
  <si>
    <t>PDE5A</t>
  </si>
  <si>
    <t>phosphodiesterase 5A</t>
  </si>
  <si>
    <t>CPI_613</t>
  </si>
  <si>
    <t>PDH</t>
  </si>
  <si>
    <t>PDHA1</t>
  </si>
  <si>
    <t>pyruvate dehydrogenase E1 alpha 1 subunit</t>
  </si>
  <si>
    <t>PDI</t>
  </si>
  <si>
    <t>PDIA2</t>
  </si>
  <si>
    <t>protein disulfide isomerase family A member 2</t>
  </si>
  <si>
    <t>PDK</t>
  </si>
  <si>
    <t>PDK1</t>
  </si>
  <si>
    <t>pyruvate dehydrogenase kinase 1</t>
  </si>
  <si>
    <t>Peptidedeformylase</t>
  </si>
  <si>
    <t>PERK</t>
  </si>
  <si>
    <t>EIF2AK3</t>
  </si>
  <si>
    <t>eukaryotic translation initiation factor 2 alpha kinase 3</t>
  </si>
  <si>
    <t>PFKFB3</t>
  </si>
  <si>
    <t>6-phosphofructo-2-kinase/fructose-2,6-biphosphatase 3(PFKFB3)</t>
  </si>
  <si>
    <t>PPP</t>
  </si>
  <si>
    <t>PGD</t>
  </si>
  <si>
    <t>phosphogluconate dehydrogenase(PGD)</t>
  </si>
  <si>
    <t>CBR5884</t>
  </si>
  <si>
    <t>Serine</t>
  </si>
  <si>
    <t>PHGDH</t>
  </si>
  <si>
    <t>phosphoglycerate dehydrogenase(PHGDH)</t>
  </si>
  <si>
    <t>NCT_503</t>
  </si>
  <si>
    <t>PK</t>
  </si>
  <si>
    <t>PKM</t>
  </si>
  <si>
    <t>pyruvate kinase M1/2</t>
  </si>
  <si>
    <t>TEPP_46</t>
  </si>
  <si>
    <t>PKM2</t>
  </si>
  <si>
    <t>DASA_58</t>
  </si>
  <si>
    <t>Rosiglitazone</t>
  </si>
  <si>
    <t>PPAR</t>
  </si>
  <si>
    <t>PPARA</t>
  </si>
  <si>
    <t>peroxisome proliferator activated receptor alpha(PPARA)</t>
  </si>
  <si>
    <t>PPARa</t>
  </si>
  <si>
    <t>Proteinsynthesis</t>
  </si>
  <si>
    <t>Allopurinol</t>
  </si>
  <si>
    <t>XDH</t>
  </si>
  <si>
    <t>xanthine dehydrogenase</t>
  </si>
  <si>
    <t>RRM1</t>
  </si>
  <si>
    <t>ribonucleotide reductase catalytic subunit M1</t>
  </si>
  <si>
    <t>ADA</t>
  </si>
  <si>
    <t>adenosine deaminase</t>
  </si>
  <si>
    <t>CD_437</t>
  </si>
  <si>
    <t>RAR</t>
  </si>
  <si>
    <t>RARA</t>
  </si>
  <si>
    <t>retinoic acid receptor alpha</t>
  </si>
  <si>
    <t>RNR</t>
  </si>
  <si>
    <t>Fingolimod</t>
  </si>
  <si>
    <t>S1PR1</t>
  </si>
  <si>
    <t>sphingosine-1-phosphate receptor 1(S1PR1)</t>
  </si>
  <si>
    <t>PluriSln_1</t>
  </si>
  <si>
    <t>SCD1</t>
  </si>
  <si>
    <t>SCD</t>
  </si>
  <si>
    <t>stearoyl-CoA desaturase</t>
  </si>
  <si>
    <t>SERCA</t>
  </si>
  <si>
    <t>ATP2A1</t>
  </si>
  <si>
    <t>ATPase sarcoplasmic/endoplasmic reticulum Ca2+ transporting 1</t>
  </si>
  <si>
    <t>Fluoxetine</t>
  </si>
  <si>
    <t>Serotonin</t>
  </si>
  <si>
    <t>Venlafaxine</t>
  </si>
  <si>
    <t>SGLT1</t>
  </si>
  <si>
    <t>SLC5A1</t>
  </si>
  <si>
    <t>solute carrier family 5 member 1</t>
  </si>
  <si>
    <t>Tofogliflozinhydrate</t>
  </si>
  <si>
    <t>SGLT1_2</t>
  </si>
  <si>
    <t>SLC5A2</t>
  </si>
  <si>
    <t xml:space="preserve">solute carrier family 5 member 2 </t>
  </si>
  <si>
    <t>SGLT2</t>
  </si>
  <si>
    <t>SIRT1</t>
  </si>
  <si>
    <t>sirtuin 1(SIRT1)</t>
  </si>
  <si>
    <t>SLC12A1</t>
  </si>
  <si>
    <t>solute carrier family 12 member 1(SLC12A1)</t>
  </si>
  <si>
    <t>LCS_1</t>
  </si>
  <si>
    <t>SOD1</t>
  </si>
  <si>
    <t>superoxide dismutase 1, soluble(SOD1)</t>
  </si>
  <si>
    <t>ATN_224</t>
  </si>
  <si>
    <t>CGP_37157</t>
  </si>
  <si>
    <t>Sodiumchannel</t>
  </si>
  <si>
    <t>Ranolazine</t>
  </si>
  <si>
    <t>N_N_Dimethylsphingosine</t>
  </si>
  <si>
    <t>SphK</t>
  </si>
  <si>
    <t>SPHK1</t>
  </si>
  <si>
    <t>sphingosine kinase 1</t>
  </si>
  <si>
    <t>SKI_II</t>
  </si>
  <si>
    <t>Butenafine</t>
  </si>
  <si>
    <t>SQLE</t>
  </si>
  <si>
    <t>squalene epoxidase(SQLE)</t>
  </si>
  <si>
    <t>Terbinafine_HCl</t>
  </si>
  <si>
    <t>Fatostatin_A</t>
  </si>
  <si>
    <t>SREBP</t>
  </si>
  <si>
    <t>SREBF</t>
  </si>
  <si>
    <t>sterol regulatory element binding transcription factor 1</t>
  </si>
  <si>
    <t>PF429242</t>
  </si>
  <si>
    <t>TCAcycle</t>
  </si>
  <si>
    <t>Fedratinib</t>
  </si>
  <si>
    <t>THTR2</t>
  </si>
  <si>
    <t>SLC19A3</t>
  </si>
  <si>
    <t>solute carrier family 19 member 3</t>
  </si>
  <si>
    <t>Transaminases</t>
  </si>
  <si>
    <t>ABAT</t>
  </si>
  <si>
    <t>4-aminobutyrate aminotransferase</t>
  </si>
  <si>
    <t>PX_12</t>
  </si>
  <si>
    <t>TXN</t>
  </si>
  <si>
    <t>thioredoxin(TXN)</t>
  </si>
  <si>
    <t>TXNRD</t>
  </si>
  <si>
    <t>TXNRD1</t>
  </si>
  <si>
    <t>thioredoxin reductase 1</t>
  </si>
  <si>
    <t>5_Fluorouracil</t>
  </si>
  <si>
    <t>TYMS</t>
  </si>
  <si>
    <t>thymidylate synthetase(TYMS)</t>
  </si>
  <si>
    <t>6_Azauridine</t>
  </si>
  <si>
    <t>Uridine</t>
  </si>
  <si>
    <t>UMPS</t>
  </si>
  <si>
    <t>uridine monophosphate synthetase(UMPS)</t>
  </si>
  <si>
    <t>Uncoupler</t>
  </si>
  <si>
    <t>UCP1</t>
  </si>
  <si>
    <t>uncoupling protein 1</t>
  </si>
  <si>
    <t>2_4_Dinitrophenol</t>
  </si>
  <si>
    <t>2_Methoxyestradiol</t>
  </si>
  <si>
    <t>Unknown</t>
  </si>
  <si>
    <t>Amifostine</t>
  </si>
  <si>
    <t>Betulinic_acid</t>
  </si>
  <si>
    <t>Chlorogenic_acid</t>
  </si>
  <si>
    <t>SLC7A11</t>
  </si>
  <si>
    <t>solute carrier family 7 member 11</t>
  </si>
  <si>
    <t>PEITC</t>
  </si>
  <si>
    <t>[6]_Gingerol</t>
  </si>
  <si>
    <t>Other</t>
  </si>
  <si>
    <t>URAT1</t>
  </si>
  <si>
    <t>SLC22A12</t>
  </si>
  <si>
    <t>solute carrier family 22 member 12</t>
  </si>
  <si>
    <t>XCT</t>
  </si>
  <si>
    <t>Viability Sens Rank</t>
  </si>
  <si>
    <t>Reverse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</si>
</sst>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16" fillId="33" borderId="0" xfId="0" applyFont="1" applyFill="1"/>
    <xf numFmtId="0" fontId="16" fillId="0" borderId="0" xfId="0" applyFont="1"/>
    <xf numFmtId="0" fontId="0" fillId="34" borderId="0" xfId="0" applyFill="1"/>
    <xf numFmtId="0" fontId="0" fillId="33" borderId="0" xfId="0" applyFill="1"/>
    <xf numFmtId="0" fontId="18" fillId="0" borderId="0" xfId="0" applyFont="1"/>
    <xf numFmtId="0" fontId="18" fillId="34" borderId="0" xfId="0" applyFont="1" applyFill="1"/>
    <xf numFmtId="0" fontId="14" fillId="0" borderId="0" xfId="0" applyFont="1"/>
    <xf numFmtId="0" fontId="14" fillId="33" borderId="0" xfId="0" applyFont="1" applyFill="1"/>
    <xf numFmtId="0" fontId="14" fillId="34" borderId="0" xfId="0" applyFont="1" applyFill="1"/>
    <xf numFmtId="0" fontId="0" fillId="35" borderId="0" xfId="0" applyFill="1"/>
    <xf numFmtId="0" fontId="14" fillId="35" borderId="0" xfId="0" applyFont="1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output_final!$F$1</c:f>
              <c:strCache>
                <c:ptCount val="1"/>
                <c:pt idx="0">
                  <c:v>AUC.differentiation.with.BRQ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output_final!$F$2:$F$242</c:f>
              <c:numCache>
                <c:formatCode>General</c:formatCode>
                <c:ptCount val="241"/>
                <c:pt idx="0">
                  <c:v>353.17457696405302</c:v>
                </c:pt>
                <c:pt idx="1">
                  <c:v>505.79150759822801</c:v>
                </c:pt>
                <c:pt idx="2">
                  <c:v>395.634837024511</c:v>
                </c:pt>
                <c:pt idx="3">
                  <c:v>384.90007956929702</c:v>
                </c:pt>
                <c:pt idx="4">
                  <c:v>382.48645476292899</c:v>
                </c:pt>
                <c:pt idx="5">
                  <c:v>534.00827709902705</c:v>
                </c:pt>
                <c:pt idx="6">
                  <c:v>396.08076197398401</c:v>
                </c:pt>
                <c:pt idx="7">
                  <c:v>387.24419402174698</c:v>
                </c:pt>
                <c:pt idx="8">
                  <c:v>403.57887030471102</c:v>
                </c:pt>
                <c:pt idx="9">
                  <c:v>450.01033646745998</c:v>
                </c:pt>
                <c:pt idx="10">
                  <c:v>400.11858623856</c:v>
                </c:pt>
                <c:pt idx="11">
                  <c:v>411.12992809223499</c:v>
                </c:pt>
                <c:pt idx="12">
                  <c:v>416.653431742294</c:v>
                </c:pt>
                <c:pt idx="13">
                  <c:v>384.85743394448502</c:v>
                </c:pt>
                <c:pt idx="14">
                  <c:v>407.79824044644403</c:v>
                </c:pt>
                <c:pt idx="15">
                  <c:v>391.02479885628401</c:v>
                </c:pt>
                <c:pt idx="16">
                  <c:v>384.32575042227597</c:v>
                </c:pt>
                <c:pt idx="17">
                  <c:v>403.658544447098</c:v>
                </c:pt>
                <c:pt idx="18">
                  <c:v>485.23866336389801</c:v>
                </c:pt>
                <c:pt idx="19">
                  <c:v>394.72045181879298</c:v>
                </c:pt>
                <c:pt idx="20">
                  <c:v>347.12591501054197</c:v>
                </c:pt>
                <c:pt idx="21">
                  <c:v>357.40492654399998</c:v>
                </c:pt>
                <c:pt idx="22">
                  <c:v>402.74240588224501</c:v>
                </c:pt>
                <c:pt idx="23">
                  <c:v>402.60766887709099</c:v>
                </c:pt>
                <c:pt idx="24">
                  <c:v>472.27168156727203</c:v>
                </c:pt>
                <c:pt idx="25">
                  <c:v>408.79015459582399</c:v>
                </c:pt>
                <c:pt idx="26">
                  <c:v>469.10015434617799</c:v>
                </c:pt>
                <c:pt idx="27">
                  <c:v>467.45000610853901</c:v>
                </c:pt>
                <c:pt idx="28">
                  <c:v>470.41585544842502</c:v>
                </c:pt>
                <c:pt idx="29">
                  <c:v>416.972030382475</c:v>
                </c:pt>
                <c:pt idx="30">
                  <c:v>359.05111904216898</c:v>
                </c:pt>
                <c:pt idx="31">
                  <c:v>596.05166926881395</c:v>
                </c:pt>
                <c:pt idx="32">
                  <c:v>485.81669135538698</c:v>
                </c:pt>
                <c:pt idx="33">
                  <c:v>420.69188539274802</c:v>
                </c:pt>
                <c:pt idx="34">
                  <c:v>389.58690468278002</c:v>
                </c:pt>
                <c:pt idx="35">
                  <c:v>487.95770099901</c:v>
                </c:pt>
                <c:pt idx="36">
                  <c:v>451.983483055514</c:v>
                </c:pt>
                <c:pt idx="37">
                  <c:v>571.81275259420704</c:v>
                </c:pt>
                <c:pt idx="38">
                  <c:v>307.76384138371799</c:v>
                </c:pt>
                <c:pt idx="39">
                  <c:v>457.64895037781798</c:v>
                </c:pt>
                <c:pt idx="40">
                  <c:v>473.744344256327</c:v>
                </c:pt>
                <c:pt idx="41">
                  <c:v>432.63311791450201</c:v>
                </c:pt>
                <c:pt idx="42">
                  <c:v>480.69975795800502</c:v>
                </c:pt>
                <c:pt idx="43">
                  <c:v>464.34324956317897</c:v>
                </c:pt>
                <c:pt idx="44">
                  <c:v>388.45200858312597</c:v>
                </c:pt>
                <c:pt idx="45">
                  <c:v>468.01130236807199</c:v>
                </c:pt>
                <c:pt idx="46">
                  <c:v>458.41470666323301</c:v>
                </c:pt>
                <c:pt idx="47">
                  <c:v>450.01330877088702</c:v>
                </c:pt>
                <c:pt idx="48">
                  <c:v>325.12374296800999</c:v>
                </c:pt>
                <c:pt idx="49">
                  <c:v>584.52929863285499</c:v>
                </c:pt>
                <c:pt idx="50">
                  <c:v>318.62102178302899</c:v>
                </c:pt>
                <c:pt idx="51">
                  <c:v>104.156396711086</c:v>
                </c:pt>
                <c:pt idx="52">
                  <c:v>263.47543545940698</c:v>
                </c:pt>
                <c:pt idx="53">
                  <c:v>316.22581452881002</c:v>
                </c:pt>
                <c:pt idx="54">
                  <c:v>304.903901365129</c:v>
                </c:pt>
                <c:pt idx="55">
                  <c:v>354.733333319172</c:v>
                </c:pt>
                <c:pt idx="56">
                  <c:v>309.733398777768</c:v>
                </c:pt>
                <c:pt idx="57">
                  <c:v>316.34668315856902</c:v>
                </c:pt>
                <c:pt idx="58">
                  <c:v>323.29917003357099</c:v>
                </c:pt>
                <c:pt idx="59">
                  <c:v>330.27727245250799</c:v>
                </c:pt>
                <c:pt idx="60">
                  <c:v>314.08916909144398</c:v>
                </c:pt>
                <c:pt idx="61">
                  <c:v>310.37820738386699</c:v>
                </c:pt>
                <c:pt idx="62">
                  <c:v>413.26913210113503</c:v>
                </c:pt>
                <c:pt idx="63">
                  <c:v>293.196266740515</c:v>
                </c:pt>
                <c:pt idx="64">
                  <c:v>302.87148308548097</c:v>
                </c:pt>
                <c:pt idx="65">
                  <c:v>331.87092278994299</c:v>
                </c:pt>
                <c:pt idx="66">
                  <c:v>266.16835754728299</c:v>
                </c:pt>
                <c:pt idx="67">
                  <c:v>268.58527142923202</c:v>
                </c:pt>
                <c:pt idx="68">
                  <c:v>304.70330229999001</c:v>
                </c:pt>
                <c:pt idx="69">
                  <c:v>307.02947022580702</c:v>
                </c:pt>
                <c:pt idx="70">
                  <c:v>373.26061823228298</c:v>
                </c:pt>
                <c:pt idx="71">
                  <c:v>305.60598083201501</c:v>
                </c:pt>
                <c:pt idx="72">
                  <c:v>369.62507757817099</c:v>
                </c:pt>
                <c:pt idx="73">
                  <c:v>492.13015715978798</c:v>
                </c:pt>
                <c:pt idx="74">
                  <c:v>200.628953807269</c:v>
                </c:pt>
                <c:pt idx="75">
                  <c:v>314.039682930776</c:v>
                </c:pt>
                <c:pt idx="76">
                  <c:v>467.567231732506</c:v>
                </c:pt>
                <c:pt idx="77">
                  <c:v>393.88308864389103</c:v>
                </c:pt>
                <c:pt idx="78">
                  <c:v>427.778139223577</c:v>
                </c:pt>
                <c:pt idx="79">
                  <c:v>422.041092924851</c:v>
                </c:pt>
                <c:pt idx="80">
                  <c:v>476.37087689337397</c:v>
                </c:pt>
                <c:pt idx="81">
                  <c:v>152.41380366438301</c:v>
                </c:pt>
                <c:pt idx="82">
                  <c:v>409.73474233625097</c:v>
                </c:pt>
                <c:pt idx="83">
                  <c:v>176.29055674957701</c:v>
                </c:pt>
                <c:pt idx="84">
                  <c:v>508.28920393563197</c:v>
                </c:pt>
                <c:pt idx="85">
                  <c:v>494.62053022584502</c:v>
                </c:pt>
                <c:pt idx="86">
                  <c:v>458.81928779110001</c:v>
                </c:pt>
                <c:pt idx="87">
                  <c:v>315.20420908121798</c:v>
                </c:pt>
                <c:pt idx="88">
                  <c:v>473.78163161098502</c:v>
                </c:pt>
                <c:pt idx="89">
                  <c:v>443.17038263665302</c:v>
                </c:pt>
                <c:pt idx="90">
                  <c:v>372.42133982117502</c:v>
                </c:pt>
                <c:pt idx="91">
                  <c:v>360.45311868814298</c:v>
                </c:pt>
                <c:pt idx="92">
                  <c:v>331.19831470244901</c:v>
                </c:pt>
                <c:pt idx="93">
                  <c:v>468.11782208134701</c:v>
                </c:pt>
                <c:pt idx="94">
                  <c:v>364.03669907406697</c:v>
                </c:pt>
                <c:pt idx="95">
                  <c:v>479.294036608216</c:v>
                </c:pt>
                <c:pt idx="96">
                  <c:v>397.64982622329399</c:v>
                </c:pt>
                <c:pt idx="97">
                  <c:v>409.066569852013</c:v>
                </c:pt>
                <c:pt idx="98">
                  <c:v>457.87983996706498</c:v>
                </c:pt>
                <c:pt idx="99">
                  <c:v>401.611608552853</c:v>
                </c:pt>
                <c:pt idx="100">
                  <c:v>406.20513732598198</c:v>
                </c:pt>
                <c:pt idx="101">
                  <c:v>496.838374044256</c:v>
                </c:pt>
                <c:pt idx="102">
                  <c:v>348.17891813314702</c:v>
                </c:pt>
                <c:pt idx="103">
                  <c:v>408.29212411084399</c:v>
                </c:pt>
                <c:pt idx="104">
                  <c:v>412.44575899890401</c:v>
                </c:pt>
                <c:pt idx="105">
                  <c:v>412.625202391703</c:v>
                </c:pt>
                <c:pt idx="106">
                  <c:v>403.64318747904002</c:v>
                </c:pt>
                <c:pt idx="107">
                  <c:v>407.78109339506</c:v>
                </c:pt>
                <c:pt idx="108">
                  <c:v>425.25455459315799</c:v>
                </c:pt>
                <c:pt idx="109">
                  <c:v>413.46532156253801</c:v>
                </c:pt>
                <c:pt idx="110">
                  <c:v>418.02629783800302</c:v>
                </c:pt>
                <c:pt idx="111">
                  <c:v>378.56486247676202</c:v>
                </c:pt>
                <c:pt idx="112">
                  <c:v>316.663929921386</c:v>
                </c:pt>
                <c:pt idx="113">
                  <c:v>418.153490678536</c:v>
                </c:pt>
                <c:pt idx="114">
                  <c:v>426.49105972720997</c:v>
                </c:pt>
                <c:pt idx="115">
                  <c:v>295.64055981136403</c:v>
                </c:pt>
                <c:pt idx="116">
                  <c:v>419.59361866851702</c:v>
                </c:pt>
                <c:pt idx="117">
                  <c:v>409.989813651357</c:v>
                </c:pt>
                <c:pt idx="118">
                  <c:v>425.98863619745202</c:v>
                </c:pt>
                <c:pt idx="119">
                  <c:v>420.97277412351002</c:v>
                </c:pt>
                <c:pt idx="120">
                  <c:v>602.42611174465299</c:v>
                </c:pt>
                <c:pt idx="121">
                  <c:v>705.30337174299905</c:v>
                </c:pt>
                <c:pt idx="122">
                  <c:v>707.748244650522</c:v>
                </c:pt>
                <c:pt idx="123">
                  <c:v>646.67046563289</c:v>
                </c:pt>
                <c:pt idx="124">
                  <c:v>644.10820002528203</c:v>
                </c:pt>
                <c:pt idx="125">
                  <c:v>706.66690475595396</c:v>
                </c:pt>
                <c:pt idx="126">
                  <c:v>670.95269420647696</c:v>
                </c:pt>
                <c:pt idx="127">
                  <c:v>721.748341098428</c:v>
                </c:pt>
                <c:pt idx="128">
                  <c:v>692.91814764347203</c:v>
                </c:pt>
                <c:pt idx="129">
                  <c:v>703.41981685469398</c:v>
                </c:pt>
                <c:pt idx="130">
                  <c:v>699.43531576588998</c:v>
                </c:pt>
                <c:pt idx="131">
                  <c:v>690.64539055727698</c:v>
                </c:pt>
                <c:pt idx="132">
                  <c:v>704.49825047694799</c:v>
                </c:pt>
                <c:pt idx="133">
                  <c:v>705.64172181500805</c:v>
                </c:pt>
                <c:pt idx="134">
                  <c:v>701.13347050333596</c:v>
                </c:pt>
                <c:pt idx="135">
                  <c:v>726.39551848625297</c:v>
                </c:pt>
                <c:pt idx="136">
                  <c:v>707.456038975865</c:v>
                </c:pt>
                <c:pt idx="137">
                  <c:v>711.84315309658098</c:v>
                </c:pt>
                <c:pt idx="138">
                  <c:v>85.5555555555556</c:v>
                </c:pt>
                <c:pt idx="139">
                  <c:v>544.43196980394305</c:v>
                </c:pt>
                <c:pt idx="140">
                  <c:v>703.04749161839902</c:v>
                </c:pt>
                <c:pt idx="141">
                  <c:v>707.69086840818704</c:v>
                </c:pt>
                <c:pt idx="142">
                  <c:v>700.82602418008605</c:v>
                </c:pt>
                <c:pt idx="143">
                  <c:v>680.16785130508799</c:v>
                </c:pt>
                <c:pt idx="144">
                  <c:v>750.21235339962698</c:v>
                </c:pt>
                <c:pt idx="145">
                  <c:v>303.0477408584</c:v>
                </c:pt>
                <c:pt idx="146">
                  <c:v>752.83411218045899</c:v>
                </c:pt>
                <c:pt idx="147">
                  <c:v>618.64273524428302</c:v>
                </c:pt>
                <c:pt idx="148">
                  <c:v>742.54743437996103</c:v>
                </c:pt>
                <c:pt idx="149">
                  <c:v>688.31409120420506</c:v>
                </c:pt>
                <c:pt idx="150">
                  <c:v>748.15173268858996</c:v>
                </c:pt>
                <c:pt idx="151">
                  <c:v>560.720242835813</c:v>
                </c:pt>
                <c:pt idx="152">
                  <c:v>723.07095502785796</c:v>
                </c:pt>
                <c:pt idx="153">
                  <c:v>755.12358395904096</c:v>
                </c:pt>
                <c:pt idx="154">
                  <c:v>757.16628527139005</c:v>
                </c:pt>
                <c:pt idx="155">
                  <c:v>759.03670544152499</c:v>
                </c:pt>
                <c:pt idx="156">
                  <c:v>612.92402781090595</c:v>
                </c:pt>
                <c:pt idx="157">
                  <c:v>750.84518316825995</c:v>
                </c:pt>
                <c:pt idx="158">
                  <c:v>720.19890459093301</c:v>
                </c:pt>
                <c:pt idx="159">
                  <c:v>752.70289679548205</c:v>
                </c:pt>
                <c:pt idx="160">
                  <c:v>98.628332861536293</c:v>
                </c:pt>
                <c:pt idx="161">
                  <c:v>689.68787688875898</c:v>
                </c:pt>
                <c:pt idx="162">
                  <c:v>750.90675695633104</c:v>
                </c:pt>
                <c:pt idx="163">
                  <c:v>747.18857787346303</c:v>
                </c:pt>
                <c:pt idx="164">
                  <c:v>547.271113282952</c:v>
                </c:pt>
                <c:pt idx="165">
                  <c:v>755.50000797667894</c:v>
                </c:pt>
                <c:pt idx="166">
                  <c:v>704.70762705310199</c:v>
                </c:pt>
                <c:pt idx="167">
                  <c:v>754.27187672679702</c:v>
                </c:pt>
                <c:pt idx="168">
                  <c:v>735.12138253193098</c:v>
                </c:pt>
                <c:pt idx="169">
                  <c:v>466.03959338839297</c:v>
                </c:pt>
                <c:pt idx="170">
                  <c:v>252.94960188339499</c:v>
                </c:pt>
                <c:pt idx="171">
                  <c:v>734.78199648175701</c:v>
                </c:pt>
                <c:pt idx="172">
                  <c:v>744.606529209668</c:v>
                </c:pt>
                <c:pt idx="173">
                  <c:v>737.08606755774497</c:v>
                </c:pt>
                <c:pt idx="174">
                  <c:v>745.77642098425304</c:v>
                </c:pt>
                <c:pt idx="175">
                  <c:v>738.12941848098296</c:v>
                </c:pt>
                <c:pt idx="176">
                  <c:v>744.897828016826</c:v>
                </c:pt>
                <c:pt idx="177">
                  <c:v>740.993517375088</c:v>
                </c:pt>
                <c:pt idx="178">
                  <c:v>748.875815078708</c:v>
                </c:pt>
                <c:pt idx="179">
                  <c:v>228.24414811932601</c:v>
                </c:pt>
                <c:pt idx="180">
                  <c:v>745.69386413806399</c:v>
                </c:pt>
                <c:pt idx="181">
                  <c:v>733.12768706873896</c:v>
                </c:pt>
                <c:pt idx="182">
                  <c:v>298.49795947624102</c:v>
                </c:pt>
                <c:pt idx="183">
                  <c:v>425.41831307157798</c:v>
                </c:pt>
                <c:pt idx="184">
                  <c:v>741.33141491563504</c:v>
                </c:pt>
                <c:pt idx="185">
                  <c:v>736.82885622450999</c:v>
                </c:pt>
                <c:pt idx="186">
                  <c:v>729.500155728462</c:v>
                </c:pt>
                <c:pt idx="187">
                  <c:v>263.396631747117</c:v>
                </c:pt>
                <c:pt idx="188">
                  <c:v>737.54280892011195</c:v>
                </c:pt>
                <c:pt idx="189">
                  <c:v>742.25913330727894</c:v>
                </c:pt>
                <c:pt idx="190">
                  <c:v>737.72988140011603</c:v>
                </c:pt>
                <c:pt idx="191">
                  <c:v>769.55457672633804</c:v>
                </c:pt>
                <c:pt idx="192">
                  <c:v>644.994780140545</c:v>
                </c:pt>
                <c:pt idx="193">
                  <c:v>644.28616779619199</c:v>
                </c:pt>
                <c:pt idx="194">
                  <c:v>706.28328514461703</c:v>
                </c:pt>
                <c:pt idx="195">
                  <c:v>261.44621206262599</c:v>
                </c:pt>
                <c:pt idx="196">
                  <c:v>504.59519186271302</c:v>
                </c:pt>
                <c:pt idx="197">
                  <c:v>348.055377200691</c:v>
                </c:pt>
                <c:pt idx="198">
                  <c:v>683.04273501843704</c:v>
                </c:pt>
                <c:pt idx="199">
                  <c:v>670.127320469599</c:v>
                </c:pt>
                <c:pt idx="200">
                  <c:v>675.94095165106296</c:v>
                </c:pt>
                <c:pt idx="201">
                  <c:v>388.12529925067201</c:v>
                </c:pt>
                <c:pt idx="202">
                  <c:v>635.98374797497695</c:v>
                </c:pt>
                <c:pt idx="203">
                  <c:v>639.44676998573698</c:v>
                </c:pt>
                <c:pt idx="204">
                  <c:v>659.03036067140704</c:v>
                </c:pt>
                <c:pt idx="205">
                  <c:v>679.00576848356604</c:v>
                </c:pt>
                <c:pt idx="206">
                  <c:v>662.810417327648</c:v>
                </c:pt>
                <c:pt idx="207">
                  <c:v>656.78278907779998</c:v>
                </c:pt>
                <c:pt idx="208">
                  <c:v>517.59630958079299</c:v>
                </c:pt>
                <c:pt idx="209">
                  <c:v>372.62652744142099</c:v>
                </c:pt>
                <c:pt idx="210">
                  <c:v>527.15393075098802</c:v>
                </c:pt>
                <c:pt idx="211">
                  <c:v>659.78663337458795</c:v>
                </c:pt>
                <c:pt idx="212">
                  <c:v>639.43914238685102</c:v>
                </c:pt>
                <c:pt idx="213">
                  <c:v>648.67200986392504</c:v>
                </c:pt>
                <c:pt idx="214">
                  <c:v>674.00656957902095</c:v>
                </c:pt>
                <c:pt idx="215">
                  <c:v>655.08640444374998</c:v>
                </c:pt>
                <c:pt idx="216">
                  <c:v>639.94387041681296</c:v>
                </c:pt>
                <c:pt idx="217">
                  <c:v>714.83732396730602</c:v>
                </c:pt>
                <c:pt idx="218">
                  <c:v>702.47512730455401</c:v>
                </c:pt>
                <c:pt idx="219">
                  <c:v>472.47379936851002</c:v>
                </c:pt>
                <c:pt idx="220">
                  <c:v>704.87878245162699</c:v>
                </c:pt>
                <c:pt idx="221">
                  <c:v>541.03431295397104</c:v>
                </c:pt>
                <c:pt idx="222">
                  <c:v>691.97788828853402</c:v>
                </c:pt>
                <c:pt idx="223">
                  <c:v>628.12512394014902</c:v>
                </c:pt>
                <c:pt idx="224">
                  <c:v>693.60633259176302</c:v>
                </c:pt>
                <c:pt idx="225">
                  <c:v>592.78342832502506</c:v>
                </c:pt>
                <c:pt idx="226">
                  <c:v>693.61554450620599</c:v>
                </c:pt>
                <c:pt idx="227">
                  <c:v>681.48672690494095</c:v>
                </c:pt>
                <c:pt idx="228">
                  <c:v>707.90161097724297</c:v>
                </c:pt>
                <c:pt idx="229">
                  <c:v>639.54416175767301</c:v>
                </c:pt>
                <c:pt idx="230">
                  <c:v>642.64438700495998</c:v>
                </c:pt>
                <c:pt idx="231">
                  <c:v>666.06499927213599</c:v>
                </c:pt>
                <c:pt idx="232">
                  <c:v>704.91502564857296</c:v>
                </c:pt>
                <c:pt idx="233">
                  <c:v>704.28674341614305</c:v>
                </c:pt>
                <c:pt idx="234">
                  <c:v>444.942477553115</c:v>
                </c:pt>
                <c:pt idx="235">
                  <c:v>672.146771117605</c:v>
                </c:pt>
                <c:pt idx="236">
                  <c:v>698.07766735735595</c:v>
                </c:pt>
                <c:pt idx="237">
                  <c:v>693.93241592222796</c:v>
                </c:pt>
                <c:pt idx="238">
                  <c:v>399.544030313321</c:v>
                </c:pt>
                <c:pt idx="239">
                  <c:v>261.89790097982302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1A-8A4D-ADD8-F227A050D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282096"/>
        <c:axId val="1680054208"/>
      </c:scatterChart>
      <c:valAx>
        <c:axId val="168028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054208"/>
        <c:crosses val="autoZero"/>
        <c:crossBetween val="midCat"/>
      </c:valAx>
      <c:valAx>
        <c:axId val="168005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282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64117891513560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'first half'!$F$1</c:f>
              <c:strCache>
                <c:ptCount val="1"/>
                <c:pt idx="0">
                  <c:v>AUC.differentiation.with.BRQ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'first half'!$F$2:$F$121</c:f>
              <c:numCache>
                <c:formatCode>General</c:formatCode>
                <c:ptCount val="120"/>
                <c:pt idx="0">
                  <c:v>104.156396711086</c:v>
                </c:pt>
                <c:pt idx="1">
                  <c:v>152.41380366438301</c:v>
                </c:pt>
                <c:pt idx="2">
                  <c:v>176.29055674957701</c:v>
                </c:pt>
                <c:pt idx="3">
                  <c:v>200.628953807269</c:v>
                </c:pt>
                <c:pt idx="4">
                  <c:v>263.47543545940698</c:v>
                </c:pt>
                <c:pt idx="5">
                  <c:v>266.16835754728299</c:v>
                </c:pt>
                <c:pt idx="6">
                  <c:v>268.58527142923202</c:v>
                </c:pt>
                <c:pt idx="7">
                  <c:v>293.196266740515</c:v>
                </c:pt>
                <c:pt idx="8">
                  <c:v>295.64055981136403</c:v>
                </c:pt>
                <c:pt idx="9">
                  <c:v>302.87148308548097</c:v>
                </c:pt>
                <c:pt idx="10">
                  <c:v>304.70330229999001</c:v>
                </c:pt>
                <c:pt idx="11">
                  <c:v>304.903901365129</c:v>
                </c:pt>
                <c:pt idx="12">
                  <c:v>305.60598083201501</c:v>
                </c:pt>
                <c:pt idx="13">
                  <c:v>307.02947022580702</c:v>
                </c:pt>
                <c:pt idx="14">
                  <c:v>307.76384138371799</c:v>
                </c:pt>
                <c:pt idx="15">
                  <c:v>309.733398777768</c:v>
                </c:pt>
                <c:pt idx="16">
                  <c:v>310.37820738386699</c:v>
                </c:pt>
                <c:pt idx="17">
                  <c:v>314.039682930776</c:v>
                </c:pt>
                <c:pt idx="18">
                  <c:v>314.08916909144398</c:v>
                </c:pt>
                <c:pt idx="19">
                  <c:v>315.20420908121798</c:v>
                </c:pt>
                <c:pt idx="20">
                  <c:v>316.22581452881002</c:v>
                </c:pt>
                <c:pt idx="21">
                  <c:v>316.34668315856902</c:v>
                </c:pt>
                <c:pt idx="22">
                  <c:v>316.663929921386</c:v>
                </c:pt>
                <c:pt idx="23">
                  <c:v>318.62102178302899</c:v>
                </c:pt>
                <c:pt idx="24">
                  <c:v>323.29917003357099</c:v>
                </c:pt>
                <c:pt idx="25">
                  <c:v>325.12374296800999</c:v>
                </c:pt>
                <c:pt idx="26">
                  <c:v>330.27727245250799</c:v>
                </c:pt>
                <c:pt idx="27">
                  <c:v>331.19831470244901</c:v>
                </c:pt>
                <c:pt idx="28">
                  <c:v>331.87092278994299</c:v>
                </c:pt>
                <c:pt idx="29">
                  <c:v>347.12591501054197</c:v>
                </c:pt>
                <c:pt idx="30">
                  <c:v>348.17891813314702</c:v>
                </c:pt>
                <c:pt idx="31">
                  <c:v>353.17457696405302</c:v>
                </c:pt>
                <c:pt idx="32">
                  <c:v>354.733333319172</c:v>
                </c:pt>
                <c:pt idx="33">
                  <c:v>357.40492654399998</c:v>
                </c:pt>
                <c:pt idx="34">
                  <c:v>359.05111904216898</c:v>
                </c:pt>
                <c:pt idx="35">
                  <c:v>360.45311868814298</c:v>
                </c:pt>
                <c:pt idx="36">
                  <c:v>364.03669907406697</c:v>
                </c:pt>
                <c:pt idx="37">
                  <c:v>369.62507757817099</c:v>
                </c:pt>
                <c:pt idx="38">
                  <c:v>372.42133982117502</c:v>
                </c:pt>
                <c:pt idx="39">
                  <c:v>373.26061823228298</c:v>
                </c:pt>
                <c:pt idx="40">
                  <c:v>378.56486247676202</c:v>
                </c:pt>
                <c:pt idx="41">
                  <c:v>382.48645476292899</c:v>
                </c:pt>
                <c:pt idx="42">
                  <c:v>384.32575042227597</c:v>
                </c:pt>
                <c:pt idx="43">
                  <c:v>384.85743394448502</c:v>
                </c:pt>
                <c:pt idx="44">
                  <c:v>384.90007956929702</c:v>
                </c:pt>
                <c:pt idx="45">
                  <c:v>387.24419402174698</c:v>
                </c:pt>
                <c:pt idx="46">
                  <c:v>388.45200858312597</c:v>
                </c:pt>
                <c:pt idx="47">
                  <c:v>389.58690468278002</c:v>
                </c:pt>
                <c:pt idx="48">
                  <c:v>391.02479885628401</c:v>
                </c:pt>
                <c:pt idx="49">
                  <c:v>393.88308864389103</c:v>
                </c:pt>
                <c:pt idx="50">
                  <c:v>394.72045181879298</c:v>
                </c:pt>
                <c:pt idx="51">
                  <c:v>395.634837024511</c:v>
                </c:pt>
                <c:pt idx="52">
                  <c:v>396.08076197398401</c:v>
                </c:pt>
                <c:pt idx="53">
                  <c:v>397.64982622329399</c:v>
                </c:pt>
                <c:pt idx="54">
                  <c:v>400.11858623856</c:v>
                </c:pt>
                <c:pt idx="55">
                  <c:v>401.611608552853</c:v>
                </c:pt>
                <c:pt idx="56">
                  <c:v>402.60766887709099</c:v>
                </c:pt>
                <c:pt idx="57">
                  <c:v>402.74240588224501</c:v>
                </c:pt>
                <c:pt idx="58">
                  <c:v>403.57887030471102</c:v>
                </c:pt>
                <c:pt idx="59">
                  <c:v>403.64318747904002</c:v>
                </c:pt>
                <c:pt idx="60">
                  <c:v>403.658544447098</c:v>
                </c:pt>
                <c:pt idx="61">
                  <c:v>406.20513732598198</c:v>
                </c:pt>
                <c:pt idx="62">
                  <c:v>407.78109339506</c:v>
                </c:pt>
                <c:pt idx="63">
                  <c:v>407.79824044644403</c:v>
                </c:pt>
                <c:pt idx="64">
                  <c:v>408.29212411084399</c:v>
                </c:pt>
                <c:pt idx="65">
                  <c:v>408.79015459582399</c:v>
                </c:pt>
                <c:pt idx="66">
                  <c:v>409.066569852013</c:v>
                </c:pt>
                <c:pt idx="67">
                  <c:v>409.73474233625097</c:v>
                </c:pt>
                <c:pt idx="68">
                  <c:v>409.989813651357</c:v>
                </c:pt>
                <c:pt idx="69">
                  <c:v>411.12992809223499</c:v>
                </c:pt>
                <c:pt idx="70">
                  <c:v>412.44575899890401</c:v>
                </c:pt>
                <c:pt idx="71">
                  <c:v>412.625202391703</c:v>
                </c:pt>
                <c:pt idx="72">
                  <c:v>413.26913210113503</c:v>
                </c:pt>
                <c:pt idx="73">
                  <c:v>413.46532156253801</c:v>
                </c:pt>
                <c:pt idx="74">
                  <c:v>416.653431742294</c:v>
                </c:pt>
                <c:pt idx="75">
                  <c:v>416.972030382475</c:v>
                </c:pt>
                <c:pt idx="76">
                  <c:v>418.02629783800302</c:v>
                </c:pt>
                <c:pt idx="77">
                  <c:v>418.153490678536</c:v>
                </c:pt>
                <c:pt idx="78">
                  <c:v>419.59361866851702</c:v>
                </c:pt>
                <c:pt idx="79">
                  <c:v>420.69188539274802</c:v>
                </c:pt>
                <c:pt idx="80">
                  <c:v>420.97277412351002</c:v>
                </c:pt>
                <c:pt idx="81">
                  <c:v>422.041092924851</c:v>
                </c:pt>
                <c:pt idx="82">
                  <c:v>425.25455459315799</c:v>
                </c:pt>
                <c:pt idx="83">
                  <c:v>425.98863619745202</c:v>
                </c:pt>
                <c:pt idx="84">
                  <c:v>426.49105972720997</c:v>
                </c:pt>
                <c:pt idx="85">
                  <c:v>427.778139223577</c:v>
                </c:pt>
                <c:pt idx="86">
                  <c:v>432.63311791450201</c:v>
                </c:pt>
                <c:pt idx="87">
                  <c:v>443.17038263665302</c:v>
                </c:pt>
                <c:pt idx="88">
                  <c:v>450.01033646745998</c:v>
                </c:pt>
                <c:pt idx="89">
                  <c:v>450.01330877088702</c:v>
                </c:pt>
                <c:pt idx="90">
                  <c:v>451.983483055514</c:v>
                </c:pt>
                <c:pt idx="91">
                  <c:v>457.64895037781798</c:v>
                </c:pt>
                <c:pt idx="92">
                  <c:v>457.87983996706498</c:v>
                </c:pt>
                <c:pt idx="93">
                  <c:v>458.41470666323301</c:v>
                </c:pt>
                <c:pt idx="94">
                  <c:v>458.81928779110001</c:v>
                </c:pt>
                <c:pt idx="95">
                  <c:v>464.34324956317897</c:v>
                </c:pt>
                <c:pt idx="96">
                  <c:v>467.45000610853901</c:v>
                </c:pt>
                <c:pt idx="97">
                  <c:v>467.567231732506</c:v>
                </c:pt>
                <c:pt idx="98">
                  <c:v>468.01130236807199</c:v>
                </c:pt>
                <c:pt idx="99">
                  <c:v>468.11782208134701</c:v>
                </c:pt>
                <c:pt idx="100">
                  <c:v>469.10015434617799</c:v>
                </c:pt>
                <c:pt idx="101">
                  <c:v>470.41585544842502</c:v>
                </c:pt>
                <c:pt idx="102">
                  <c:v>472.27168156727203</c:v>
                </c:pt>
                <c:pt idx="103">
                  <c:v>473.744344256327</c:v>
                </c:pt>
                <c:pt idx="104">
                  <c:v>473.78163161098502</c:v>
                </c:pt>
                <c:pt idx="105">
                  <c:v>476.37087689337397</c:v>
                </c:pt>
                <c:pt idx="106">
                  <c:v>479.294036608216</c:v>
                </c:pt>
                <c:pt idx="107">
                  <c:v>480.69975795800502</c:v>
                </c:pt>
                <c:pt idx="108">
                  <c:v>485.23866336389801</c:v>
                </c:pt>
                <c:pt idx="109">
                  <c:v>485.81669135538698</c:v>
                </c:pt>
                <c:pt idx="110">
                  <c:v>487.95770099901</c:v>
                </c:pt>
                <c:pt idx="111">
                  <c:v>492.13015715978798</c:v>
                </c:pt>
                <c:pt idx="112">
                  <c:v>494.62053022584502</c:v>
                </c:pt>
                <c:pt idx="113">
                  <c:v>496.838374044256</c:v>
                </c:pt>
                <c:pt idx="114">
                  <c:v>505.79150759822801</c:v>
                </c:pt>
                <c:pt idx="115">
                  <c:v>508.28920393563197</c:v>
                </c:pt>
                <c:pt idx="116">
                  <c:v>534.00827709902705</c:v>
                </c:pt>
                <c:pt idx="117">
                  <c:v>571.81275259420704</c:v>
                </c:pt>
                <c:pt idx="118">
                  <c:v>584.52929863285499</c:v>
                </c:pt>
                <c:pt idx="119">
                  <c:v>596.05166926881395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B3-704E-BF2F-8FFDC036F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746816"/>
        <c:axId val="1708934016"/>
      </c:scatterChart>
      <c:valAx>
        <c:axId val="170874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934016"/>
        <c:crosses val="autoZero"/>
        <c:crossBetween val="midCat"/>
      </c:valAx>
      <c:valAx>
        <c:axId val="170893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746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'first half'!$F$1</c:f>
              <c:strCache>
                <c:ptCount val="1"/>
                <c:pt idx="0">
                  <c:v>AUC.differentiation.with.BRQ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'first half'!$E$2:$E$122</c:f>
              <c:numCache>
                <c:formatCode>General</c:formatCode>
                <c:ptCount val="121"/>
                <c:pt idx="0">
                  <c:v>829.95062370976302</c:v>
                </c:pt>
                <c:pt idx="1">
                  <c:v>344.90024977296201</c:v>
                </c:pt>
                <c:pt idx="2">
                  <c:v>375.35429442569603</c:v>
                </c:pt>
                <c:pt idx="3">
                  <c:v>974.94045107664203</c:v>
                </c:pt>
                <c:pt idx="4">
                  <c:v>1011.88513392245</c:v>
                </c:pt>
                <c:pt idx="5">
                  <c:v>1015.31815731319</c:v>
                </c:pt>
                <c:pt idx="6">
                  <c:v>995.88743681670803</c:v>
                </c:pt>
                <c:pt idx="7">
                  <c:v>1017.4464847631</c:v>
                </c:pt>
                <c:pt idx="8">
                  <c:v>646.32978122913801</c:v>
                </c:pt>
                <c:pt idx="9">
                  <c:v>1009.9191014425299</c:v>
                </c:pt>
                <c:pt idx="10">
                  <c:v>1008.22534967589</c:v>
                </c:pt>
                <c:pt idx="11">
                  <c:v>1013.55915134553</c:v>
                </c:pt>
                <c:pt idx="12">
                  <c:v>990.56245559376202</c:v>
                </c:pt>
                <c:pt idx="13">
                  <c:v>1001.42453728891</c:v>
                </c:pt>
                <c:pt idx="14">
                  <c:v>825.50963571992202</c:v>
                </c:pt>
                <c:pt idx="15">
                  <c:v>782.29580044533805</c:v>
                </c:pt>
                <c:pt idx="16">
                  <c:v>1017.03552562991</c:v>
                </c:pt>
                <c:pt idx="17">
                  <c:v>361.51266203933</c:v>
                </c:pt>
                <c:pt idx="18">
                  <c:v>1025.28458673203</c:v>
                </c:pt>
                <c:pt idx="19">
                  <c:v>899.92822392997903</c:v>
                </c:pt>
                <c:pt idx="20">
                  <c:v>1020.76483509431</c:v>
                </c:pt>
                <c:pt idx="21">
                  <c:v>1019.06873148276</c:v>
                </c:pt>
                <c:pt idx="22">
                  <c:v>1005.73324401634</c:v>
                </c:pt>
                <c:pt idx="23">
                  <c:v>1020.40388919179</c:v>
                </c:pt>
                <c:pt idx="24">
                  <c:v>1007.81242624945</c:v>
                </c:pt>
                <c:pt idx="25">
                  <c:v>1033.0768086467399</c:v>
                </c:pt>
                <c:pt idx="26">
                  <c:v>1009.56791581504</c:v>
                </c:pt>
                <c:pt idx="27">
                  <c:v>962.16351402955695</c:v>
                </c:pt>
                <c:pt idx="28">
                  <c:v>1005.81236183344</c:v>
                </c:pt>
                <c:pt idx="29">
                  <c:v>837.327976137836</c:v>
                </c:pt>
                <c:pt idx="30">
                  <c:v>957.13055478795002</c:v>
                </c:pt>
                <c:pt idx="31">
                  <c:v>1037.58603187536</c:v>
                </c:pt>
                <c:pt idx="32">
                  <c:v>1011.95908982547</c:v>
                </c:pt>
                <c:pt idx="33">
                  <c:v>736.66100889288498</c:v>
                </c:pt>
                <c:pt idx="34">
                  <c:v>1030.17156138062</c:v>
                </c:pt>
                <c:pt idx="35">
                  <c:v>1010.39479722914</c:v>
                </c:pt>
                <c:pt idx="36">
                  <c:v>954.53138546445405</c:v>
                </c:pt>
                <c:pt idx="37">
                  <c:v>658.12204549960302</c:v>
                </c:pt>
                <c:pt idx="38">
                  <c:v>841.96930468103506</c:v>
                </c:pt>
                <c:pt idx="39">
                  <c:v>603.82721580393002</c:v>
                </c:pt>
                <c:pt idx="40">
                  <c:v>995.63839360624695</c:v>
                </c:pt>
                <c:pt idx="41">
                  <c:v>998.05039208075902</c:v>
                </c:pt>
                <c:pt idx="42">
                  <c:v>1009.98279777167</c:v>
                </c:pt>
                <c:pt idx="43">
                  <c:v>1011.94966362611</c:v>
                </c:pt>
                <c:pt idx="44">
                  <c:v>889.35052801479799</c:v>
                </c:pt>
                <c:pt idx="45">
                  <c:v>1018.6753525538199</c:v>
                </c:pt>
                <c:pt idx="46">
                  <c:v>418.548744731971</c:v>
                </c:pt>
                <c:pt idx="47">
                  <c:v>965.680308704087</c:v>
                </c:pt>
                <c:pt idx="48">
                  <c:v>1012.90708827614</c:v>
                </c:pt>
                <c:pt idx="49">
                  <c:v>884.82216829993502</c:v>
                </c:pt>
                <c:pt idx="50">
                  <c:v>1011.640218836</c:v>
                </c:pt>
                <c:pt idx="51">
                  <c:v>1030.3846982560201</c:v>
                </c:pt>
                <c:pt idx="52">
                  <c:v>1010.56660075191</c:v>
                </c:pt>
                <c:pt idx="53">
                  <c:v>994.79576044472105</c:v>
                </c:pt>
                <c:pt idx="54">
                  <c:v>1014.71063802486</c:v>
                </c:pt>
                <c:pt idx="55">
                  <c:v>996.456442603607</c:v>
                </c:pt>
                <c:pt idx="56">
                  <c:v>995.891934746174</c:v>
                </c:pt>
                <c:pt idx="57">
                  <c:v>991.49062600045499</c:v>
                </c:pt>
                <c:pt idx="58">
                  <c:v>1010.24234474324</c:v>
                </c:pt>
                <c:pt idx="59">
                  <c:v>986.71542578398896</c:v>
                </c:pt>
                <c:pt idx="60">
                  <c:v>993.83163736301799</c:v>
                </c:pt>
                <c:pt idx="61">
                  <c:v>985.12725943298005</c:v>
                </c:pt>
                <c:pt idx="62">
                  <c:v>981.76736834211397</c:v>
                </c:pt>
                <c:pt idx="63">
                  <c:v>1016.393483254</c:v>
                </c:pt>
                <c:pt idx="64">
                  <c:v>990.05022460857504</c:v>
                </c:pt>
                <c:pt idx="65">
                  <c:v>999.65678921034396</c:v>
                </c:pt>
                <c:pt idx="66">
                  <c:v>997.78791098400802</c:v>
                </c:pt>
                <c:pt idx="67">
                  <c:v>956.10986531629703</c:v>
                </c:pt>
                <c:pt idx="68">
                  <c:v>983.76978719656802</c:v>
                </c:pt>
                <c:pt idx="69">
                  <c:v>1019.97105955468</c:v>
                </c:pt>
                <c:pt idx="70">
                  <c:v>989.08072201073503</c:v>
                </c:pt>
                <c:pt idx="71">
                  <c:v>989.20086225659099</c:v>
                </c:pt>
                <c:pt idx="72">
                  <c:v>908.42999303030501</c:v>
                </c:pt>
                <c:pt idx="73">
                  <c:v>987.49649812056396</c:v>
                </c:pt>
                <c:pt idx="74">
                  <c:v>915.31542700449302</c:v>
                </c:pt>
                <c:pt idx="75">
                  <c:v>919.47040843142599</c:v>
                </c:pt>
                <c:pt idx="76">
                  <c:v>967.82098343631105</c:v>
                </c:pt>
                <c:pt idx="77">
                  <c:v>985.79002708123505</c:v>
                </c:pt>
                <c:pt idx="78">
                  <c:v>970.13740195102196</c:v>
                </c:pt>
                <c:pt idx="79">
                  <c:v>836.89947638820104</c:v>
                </c:pt>
                <c:pt idx="80">
                  <c:v>959.22848654622805</c:v>
                </c:pt>
                <c:pt idx="81">
                  <c:v>962.10069510649305</c:v>
                </c:pt>
                <c:pt idx="82">
                  <c:v>971.34511533007105</c:v>
                </c:pt>
                <c:pt idx="83">
                  <c:v>953.07254226954399</c:v>
                </c:pt>
                <c:pt idx="84">
                  <c:v>939.14870985201605</c:v>
                </c:pt>
                <c:pt idx="85">
                  <c:v>987.99231687272197</c:v>
                </c:pt>
                <c:pt idx="86">
                  <c:v>987.38816741161395</c:v>
                </c:pt>
                <c:pt idx="87">
                  <c:v>949.92555960450795</c:v>
                </c:pt>
                <c:pt idx="88">
                  <c:v>456.77871430544599</c:v>
                </c:pt>
                <c:pt idx="89">
                  <c:v>930.57911838132998</c:v>
                </c:pt>
                <c:pt idx="90">
                  <c:v>961.56191019894504</c:v>
                </c:pt>
                <c:pt idx="91">
                  <c:v>936.94461237903499</c:v>
                </c:pt>
                <c:pt idx="92">
                  <c:v>944.18532888562504</c:v>
                </c:pt>
                <c:pt idx="93">
                  <c:v>890.63125072809396</c:v>
                </c:pt>
                <c:pt idx="94">
                  <c:v>960.92941152461196</c:v>
                </c:pt>
                <c:pt idx="95">
                  <c:v>918.632713151134</c:v>
                </c:pt>
                <c:pt idx="96">
                  <c:v>947.39652583968802</c:v>
                </c:pt>
                <c:pt idx="97">
                  <c:v>960.00896741638496</c:v>
                </c:pt>
                <c:pt idx="98">
                  <c:v>940.37765620155199</c:v>
                </c:pt>
                <c:pt idx="99">
                  <c:v>936.52640468995401</c:v>
                </c:pt>
                <c:pt idx="100">
                  <c:v>939.21112140183698</c:v>
                </c:pt>
                <c:pt idx="101">
                  <c:v>964.63787808857103</c:v>
                </c:pt>
                <c:pt idx="102">
                  <c:v>963.91002247573397</c:v>
                </c:pt>
                <c:pt idx="103">
                  <c:v>924.49219391371798</c:v>
                </c:pt>
                <c:pt idx="104">
                  <c:v>934.305490613026</c:v>
                </c:pt>
                <c:pt idx="105">
                  <c:v>946.62542367292599</c:v>
                </c:pt>
                <c:pt idx="106">
                  <c:v>960.63953921253596</c:v>
                </c:pt>
                <c:pt idx="107">
                  <c:v>906.48091897113704</c:v>
                </c:pt>
                <c:pt idx="108">
                  <c:v>543.72224066478805</c:v>
                </c:pt>
                <c:pt idx="109">
                  <c:v>947.58994751497505</c:v>
                </c:pt>
                <c:pt idx="110">
                  <c:v>924.23267363409104</c:v>
                </c:pt>
                <c:pt idx="111">
                  <c:v>958.53669620759604</c:v>
                </c:pt>
                <c:pt idx="112">
                  <c:v>925.87463540476301</c:v>
                </c:pt>
                <c:pt idx="113">
                  <c:v>10.5719288566036</c:v>
                </c:pt>
                <c:pt idx="114">
                  <c:v>839.89296263079802</c:v>
                </c:pt>
                <c:pt idx="115">
                  <c:v>894.15012382874295</c:v>
                </c:pt>
                <c:pt idx="116">
                  <c:v>641.46456750540597</c:v>
                </c:pt>
                <c:pt idx="117">
                  <c:v>875.79378557754706</c:v>
                </c:pt>
                <c:pt idx="118">
                  <c:v>436.981817797904</c:v>
                </c:pt>
                <c:pt idx="119">
                  <c:v>626.16814401312502</c:v>
                </c:pt>
              </c:numCache>
            </c:numRef>
          </c:xVal>
          <c:yVal>
            <c:numRef>
              <c:f>'first half'!$F$2:$F$122</c:f>
              <c:numCache>
                <c:formatCode>General</c:formatCode>
                <c:ptCount val="121"/>
                <c:pt idx="0">
                  <c:v>104.156396711086</c:v>
                </c:pt>
                <c:pt idx="1">
                  <c:v>152.41380366438301</c:v>
                </c:pt>
                <c:pt idx="2">
                  <c:v>176.29055674957701</c:v>
                </c:pt>
                <c:pt idx="3">
                  <c:v>200.628953807269</c:v>
                </c:pt>
                <c:pt idx="4">
                  <c:v>263.47543545940698</c:v>
                </c:pt>
                <c:pt idx="5">
                  <c:v>266.16835754728299</c:v>
                </c:pt>
                <c:pt idx="6">
                  <c:v>268.58527142923202</c:v>
                </c:pt>
                <c:pt idx="7">
                  <c:v>293.196266740515</c:v>
                </c:pt>
                <c:pt idx="8">
                  <c:v>295.64055981136403</c:v>
                </c:pt>
                <c:pt idx="9">
                  <c:v>302.87148308548097</c:v>
                </c:pt>
                <c:pt idx="10">
                  <c:v>304.70330229999001</c:v>
                </c:pt>
                <c:pt idx="11">
                  <c:v>304.903901365129</c:v>
                </c:pt>
                <c:pt idx="12">
                  <c:v>305.60598083201501</c:v>
                </c:pt>
                <c:pt idx="13">
                  <c:v>307.02947022580702</c:v>
                </c:pt>
                <c:pt idx="14">
                  <c:v>307.76384138371799</c:v>
                </c:pt>
                <c:pt idx="15">
                  <c:v>309.733398777768</c:v>
                </c:pt>
                <c:pt idx="16">
                  <c:v>310.37820738386699</c:v>
                </c:pt>
                <c:pt idx="17">
                  <c:v>314.039682930776</c:v>
                </c:pt>
                <c:pt idx="18">
                  <c:v>314.08916909144398</c:v>
                </c:pt>
                <c:pt idx="19">
                  <c:v>315.20420908121798</c:v>
                </c:pt>
                <c:pt idx="20">
                  <c:v>316.22581452881002</c:v>
                </c:pt>
                <c:pt idx="21">
                  <c:v>316.34668315856902</c:v>
                </c:pt>
                <c:pt idx="22">
                  <c:v>316.663929921386</c:v>
                </c:pt>
                <c:pt idx="23">
                  <c:v>318.62102178302899</c:v>
                </c:pt>
                <c:pt idx="24">
                  <c:v>323.29917003357099</c:v>
                </c:pt>
                <c:pt idx="25">
                  <c:v>325.12374296800999</c:v>
                </c:pt>
                <c:pt idx="26">
                  <c:v>330.27727245250799</c:v>
                </c:pt>
                <c:pt idx="27">
                  <c:v>331.19831470244901</c:v>
                </c:pt>
                <c:pt idx="28">
                  <c:v>331.87092278994299</c:v>
                </c:pt>
                <c:pt idx="29">
                  <c:v>347.12591501054197</c:v>
                </c:pt>
                <c:pt idx="30">
                  <c:v>348.17891813314702</c:v>
                </c:pt>
                <c:pt idx="31">
                  <c:v>353.17457696405302</c:v>
                </c:pt>
                <c:pt idx="32">
                  <c:v>354.733333319172</c:v>
                </c:pt>
                <c:pt idx="33">
                  <c:v>357.40492654399998</c:v>
                </c:pt>
                <c:pt idx="34">
                  <c:v>359.05111904216898</c:v>
                </c:pt>
                <c:pt idx="35">
                  <c:v>360.45311868814298</c:v>
                </c:pt>
                <c:pt idx="36">
                  <c:v>364.03669907406697</c:v>
                </c:pt>
                <c:pt idx="37">
                  <c:v>369.62507757817099</c:v>
                </c:pt>
                <c:pt idx="38">
                  <c:v>372.42133982117502</c:v>
                </c:pt>
                <c:pt idx="39">
                  <c:v>373.26061823228298</c:v>
                </c:pt>
                <c:pt idx="40">
                  <c:v>378.56486247676202</c:v>
                </c:pt>
                <c:pt idx="41">
                  <c:v>382.48645476292899</c:v>
                </c:pt>
                <c:pt idx="42">
                  <c:v>384.32575042227597</c:v>
                </c:pt>
                <c:pt idx="43">
                  <c:v>384.85743394448502</c:v>
                </c:pt>
                <c:pt idx="44">
                  <c:v>384.90007956929702</c:v>
                </c:pt>
                <c:pt idx="45">
                  <c:v>387.24419402174698</c:v>
                </c:pt>
                <c:pt idx="46">
                  <c:v>388.45200858312597</c:v>
                </c:pt>
                <c:pt idx="47">
                  <c:v>389.58690468278002</c:v>
                </c:pt>
                <c:pt idx="48">
                  <c:v>391.02479885628401</c:v>
                </c:pt>
                <c:pt idx="49">
                  <c:v>393.88308864389103</c:v>
                </c:pt>
                <c:pt idx="50">
                  <c:v>394.72045181879298</c:v>
                </c:pt>
                <c:pt idx="51">
                  <c:v>395.634837024511</c:v>
                </c:pt>
                <c:pt idx="52">
                  <c:v>396.08076197398401</c:v>
                </c:pt>
                <c:pt idx="53">
                  <c:v>397.64982622329399</c:v>
                </c:pt>
                <c:pt idx="54">
                  <c:v>400.11858623856</c:v>
                </c:pt>
                <c:pt idx="55">
                  <c:v>401.611608552853</c:v>
                </c:pt>
                <c:pt idx="56">
                  <c:v>402.60766887709099</c:v>
                </c:pt>
                <c:pt idx="57">
                  <c:v>402.74240588224501</c:v>
                </c:pt>
                <c:pt idx="58">
                  <c:v>403.57887030471102</c:v>
                </c:pt>
                <c:pt idx="59">
                  <c:v>403.64318747904002</c:v>
                </c:pt>
                <c:pt idx="60">
                  <c:v>403.658544447098</c:v>
                </c:pt>
                <c:pt idx="61">
                  <c:v>406.20513732598198</c:v>
                </c:pt>
                <c:pt idx="62">
                  <c:v>407.78109339506</c:v>
                </c:pt>
                <c:pt idx="63">
                  <c:v>407.79824044644403</c:v>
                </c:pt>
                <c:pt idx="64">
                  <c:v>408.29212411084399</c:v>
                </c:pt>
                <c:pt idx="65">
                  <c:v>408.79015459582399</c:v>
                </c:pt>
                <c:pt idx="66">
                  <c:v>409.066569852013</c:v>
                </c:pt>
                <c:pt idx="67">
                  <c:v>409.73474233625097</c:v>
                </c:pt>
                <c:pt idx="68">
                  <c:v>409.989813651357</c:v>
                </c:pt>
                <c:pt idx="69">
                  <c:v>411.12992809223499</c:v>
                </c:pt>
                <c:pt idx="70">
                  <c:v>412.44575899890401</c:v>
                </c:pt>
                <c:pt idx="71">
                  <c:v>412.625202391703</c:v>
                </c:pt>
                <c:pt idx="72">
                  <c:v>413.26913210113503</c:v>
                </c:pt>
                <c:pt idx="73">
                  <c:v>413.46532156253801</c:v>
                </c:pt>
                <c:pt idx="74">
                  <c:v>416.653431742294</c:v>
                </c:pt>
                <c:pt idx="75">
                  <c:v>416.972030382475</c:v>
                </c:pt>
                <c:pt idx="76">
                  <c:v>418.02629783800302</c:v>
                </c:pt>
                <c:pt idx="77">
                  <c:v>418.153490678536</c:v>
                </c:pt>
                <c:pt idx="78">
                  <c:v>419.59361866851702</c:v>
                </c:pt>
                <c:pt idx="79">
                  <c:v>420.69188539274802</c:v>
                </c:pt>
                <c:pt idx="80">
                  <c:v>420.97277412351002</c:v>
                </c:pt>
                <c:pt idx="81">
                  <c:v>422.041092924851</c:v>
                </c:pt>
                <c:pt idx="82">
                  <c:v>425.25455459315799</c:v>
                </c:pt>
                <c:pt idx="83">
                  <c:v>425.98863619745202</c:v>
                </c:pt>
                <c:pt idx="84">
                  <c:v>426.49105972720997</c:v>
                </c:pt>
                <c:pt idx="85">
                  <c:v>427.778139223577</c:v>
                </c:pt>
                <c:pt idx="86">
                  <c:v>432.63311791450201</c:v>
                </c:pt>
                <c:pt idx="87">
                  <c:v>443.17038263665302</c:v>
                </c:pt>
                <c:pt idx="88">
                  <c:v>450.01033646745998</c:v>
                </c:pt>
                <c:pt idx="89">
                  <c:v>450.01330877088702</c:v>
                </c:pt>
                <c:pt idx="90">
                  <c:v>451.983483055514</c:v>
                </c:pt>
                <c:pt idx="91">
                  <c:v>457.64895037781798</c:v>
                </c:pt>
                <c:pt idx="92">
                  <c:v>457.87983996706498</c:v>
                </c:pt>
                <c:pt idx="93">
                  <c:v>458.41470666323301</c:v>
                </c:pt>
                <c:pt idx="94">
                  <c:v>458.81928779110001</c:v>
                </c:pt>
                <c:pt idx="95">
                  <c:v>464.34324956317897</c:v>
                </c:pt>
                <c:pt idx="96">
                  <c:v>467.45000610853901</c:v>
                </c:pt>
                <c:pt idx="97">
                  <c:v>467.567231732506</c:v>
                </c:pt>
                <c:pt idx="98">
                  <c:v>468.01130236807199</c:v>
                </c:pt>
                <c:pt idx="99">
                  <c:v>468.11782208134701</c:v>
                </c:pt>
                <c:pt idx="100">
                  <c:v>469.10015434617799</c:v>
                </c:pt>
                <c:pt idx="101">
                  <c:v>470.41585544842502</c:v>
                </c:pt>
                <c:pt idx="102">
                  <c:v>472.27168156727203</c:v>
                </c:pt>
                <c:pt idx="103">
                  <c:v>473.744344256327</c:v>
                </c:pt>
                <c:pt idx="104">
                  <c:v>473.78163161098502</c:v>
                </c:pt>
                <c:pt idx="105">
                  <c:v>476.37087689337397</c:v>
                </c:pt>
                <c:pt idx="106">
                  <c:v>479.294036608216</c:v>
                </c:pt>
                <c:pt idx="107">
                  <c:v>480.69975795800502</c:v>
                </c:pt>
                <c:pt idx="108">
                  <c:v>485.23866336389801</c:v>
                </c:pt>
                <c:pt idx="109">
                  <c:v>485.81669135538698</c:v>
                </c:pt>
                <c:pt idx="110">
                  <c:v>487.95770099901</c:v>
                </c:pt>
                <c:pt idx="111">
                  <c:v>492.13015715978798</c:v>
                </c:pt>
                <c:pt idx="112">
                  <c:v>494.62053022584502</c:v>
                </c:pt>
                <c:pt idx="113">
                  <c:v>496.838374044256</c:v>
                </c:pt>
                <c:pt idx="114">
                  <c:v>505.79150759822801</c:v>
                </c:pt>
                <c:pt idx="115">
                  <c:v>508.28920393563197</c:v>
                </c:pt>
                <c:pt idx="116">
                  <c:v>534.00827709902705</c:v>
                </c:pt>
                <c:pt idx="117">
                  <c:v>571.81275259420704</c:v>
                </c:pt>
                <c:pt idx="118">
                  <c:v>584.52929863285499</c:v>
                </c:pt>
                <c:pt idx="119">
                  <c:v>596.05166926881395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BB-214C-AB18-8E2E142CC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3559088"/>
        <c:axId val="1708537536"/>
      </c:scatterChart>
      <c:valAx>
        <c:axId val="170355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537536"/>
        <c:crosses val="autoZero"/>
        <c:crossBetween val="midCat"/>
      </c:valAx>
      <c:valAx>
        <c:axId val="170853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55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'second half'!$F$1</c:f>
              <c:strCache>
                <c:ptCount val="1"/>
                <c:pt idx="0">
                  <c:v>AUC.differentiation.with.BRQ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'second half'!$F$2:$F$122</c:f>
              <c:numCache>
                <c:formatCode>General</c:formatCode>
                <c:ptCount val="121"/>
                <c:pt idx="0">
                  <c:v>85.5555555555556</c:v>
                </c:pt>
                <c:pt idx="1">
                  <c:v>98.628332861536293</c:v>
                </c:pt>
                <c:pt idx="2">
                  <c:v>228.24414811932601</c:v>
                </c:pt>
                <c:pt idx="3">
                  <c:v>252.94960188339499</c:v>
                </c:pt>
                <c:pt idx="4">
                  <c:v>261.44621206262599</c:v>
                </c:pt>
                <c:pt idx="5">
                  <c:v>261.89790097982302</c:v>
                </c:pt>
                <c:pt idx="6">
                  <c:v>263.396631747117</c:v>
                </c:pt>
                <c:pt idx="7">
                  <c:v>298.49795947624102</c:v>
                </c:pt>
                <c:pt idx="8">
                  <c:v>303.0477408584</c:v>
                </c:pt>
                <c:pt idx="9">
                  <c:v>348.055377200691</c:v>
                </c:pt>
                <c:pt idx="10">
                  <c:v>372.62652744142099</c:v>
                </c:pt>
                <c:pt idx="11">
                  <c:v>388.12529925067201</c:v>
                </c:pt>
                <c:pt idx="12">
                  <c:v>399.544030313321</c:v>
                </c:pt>
                <c:pt idx="13">
                  <c:v>425.41831307157798</c:v>
                </c:pt>
                <c:pt idx="14">
                  <c:v>444.942477553115</c:v>
                </c:pt>
                <c:pt idx="15">
                  <c:v>466.03959338839297</c:v>
                </c:pt>
                <c:pt idx="16">
                  <c:v>472.47379936851002</c:v>
                </c:pt>
                <c:pt idx="17">
                  <c:v>504.59519186271302</c:v>
                </c:pt>
                <c:pt idx="18">
                  <c:v>517.59630958079299</c:v>
                </c:pt>
                <c:pt idx="19">
                  <c:v>527.15393075098802</c:v>
                </c:pt>
                <c:pt idx="20">
                  <c:v>541.03431295397104</c:v>
                </c:pt>
                <c:pt idx="21">
                  <c:v>544.43196980394305</c:v>
                </c:pt>
                <c:pt idx="22">
                  <c:v>547.271113282952</c:v>
                </c:pt>
                <c:pt idx="23">
                  <c:v>560.720242835813</c:v>
                </c:pt>
                <c:pt idx="24">
                  <c:v>592.78342832502506</c:v>
                </c:pt>
                <c:pt idx="25">
                  <c:v>602.42611174465299</c:v>
                </c:pt>
                <c:pt idx="26">
                  <c:v>612.92402781090595</c:v>
                </c:pt>
                <c:pt idx="27">
                  <c:v>618.64273524428302</c:v>
                </c:pt>
                <c:pt idx="28">
                  <c:v>628.12512394014902</c:v>
                </c:pt>
                <c:pt idx="29">
                  <c:v>635.98374797497695</c:v>
                </c:pt>
                <c:pt idx="30">
                  <c:v>639.43914238685102</c:v>
                </c:pt>
                <c:pt idx="31">
                  <c:v>639.44676998573698</c:v>
                </c:pt>
                <c:pt idx="32">
                  <c:v>639.54416175767301</c:v>
                </c:pt>
                <c:pt idx="33">
                  <c:v>639.94387041681296</c:v>
                </c:pt>
                <c:pt idx="34">
                  <c:v>642.64438700495998</c:v>
                </c:pt>
                <c:pt idx="35">
                  <c:v>644.10820002528203</c:v>
                </c:pt>
                <c:pt idx="36">
                  <c:v>644.28616779619199</c:v>
                </c:pt>
                <c:pt idx="37">
                  <c:v>644.994780140545</c:v>
                </c:pt>
                <c:pt idx="38">
                  <c:v>646.67046563289</c:v>
                </c:pt>
                <c:pt idx="39">
                  <c:v>648.67200986392504</c:v>
                </c:pt>
                <c:pt idx="40">
                  <c:v>655.08640444374998</c:v>
                </c:pt>
                <c:pt idx="41">
                  <c:v>656.78278907779998</c:v>
                </c:pt>
                <c:pt idx="42">
                  <c:v>659.03036067140704</c:v>
                </c:pt>
                <c:pt idx="43">
                  <c:v>659.78663337458795</c:v>
                </c:pt>
                <c:pt idx="44">
                  <c:v>662.810417327648</c:v>
                </c:pt>
                <c:pt idx="45">
                  <c:v>666.06499927213599</c:v>
                </c:pt>
                <c:pt idx="46">
                  <c:v>670.127320469599</c:v>
                </c:pt>
                <c:pt idx="47">
                  <c:v>670.95269420647696</c:v>
                </c:pt>
                <c:pt idx="48">
                  <c:v>672.146771117605</c:v>
                </c:pt>
                <c:pt idx="49">
                  <c:v>674.00656957902095</c:v>
                </c:pt>
                <c:pt idx="50">
                  <c:v>675.94095165106296</c:v>
                </c:pt>
                <c:pt idx="51">
                  <c:v>679.00576848356604</c:v>
                </c:pt>
                <c:pt idx="52">
                  <c:v>680.16785130508799</c:v>
                </c:pt>
                <c:pt idx="53">
                  <c:v>681.48672690494095</c:v>
                </c:pt>
                <c:pt idx="54">
                  <c:v>683.04273501843704</c:v>
                </c:pt>
                <c:pt idx="55">
                  <c:v>688.31409120420506</c:v>
                </c:pt>
                <c:pt idx="56">
                  <c:v>689.68787688875898</c:v>
                </c:pt>
                <c:pt idx="57">
                  <c:v>690.64539055727698</c:v>
                </c:pt>
                <c:pt idx="58">
                  <c:v>691.97788828853402</c:v>
                </c:pt>
                <c:pt idx="59">
                  <c:v>692.91814764347203</c:v>
                </c:pt>
                <c:pt idx="60">
                  <c:v>693.60633259176302</c:v>
                </c:pt>
                <c:pt idx="61">
                  <c:v>693.61554450620599</c:v>
                </c:pt>
                <c:pt idx="62">
                  <c:v>693.93241592222796</c:v>
                </c:pt>
                <c:pt idx="63">
                  <c:v>698.07766735735595</c:v>
                </c:pt>
                <c:pt idx="64">
                  <c:v>699.43531576588998</c:v>
                </c:pt>
                <c:pt idx="65">
                  <c:v>700.82602418008605</c:v>
                </c:pt>
                <c:pt idx="66">
                  <c:v>701.13347050333596</c:v>
                </c:pt>
                <c:pt idx="67">
                  <c:v>702.47512730455401</c:v>
                </c:pt>
                <c:pt idx="68">
                  <c:v>703.04749161839902</c:v>
                </c:pt>
                <c:pt idx="69">
                  <c:v>703.41981685469398</c:v>
                </c:pt>
                <c:pt idx="70">
                  <c:v>704.28674341614305</c:v>
                </c:pt>
                <c:pt idx="71">
                  <c:v>704.49825047694799</c:v>
                </c:pt>
                <c:pt idx="72">
                  <c:v>704.70762705310199</c:v>
                </c:pt>
                <c:pt idx="73">
                  <c:v>704.87878245162699</c:v>
                </c:pt>
                <c:pt idx="74">
                  <c:v>704.91502564857296</c:v>
                </c:pt>
                <c:pt idx="75">
                  <c:v>705.30337174299905</c:v>
                </c:pt>
                <c:pt idx="76">
                  <c:v>705.64172181500805</c:v>
                </c:pt>
                <c:pt idx="77">
                  <c:v>706.28328514461703</c:v>
                </c:pt>
                <c:pt idx="78">
                  <c:v>706.66690475595396</c:v>
                </c:pt>
                <c:pt idx="79">
                  <c:v>707.456038975865</c:v>
                </c:pt>
                <c:pt idx="80">
                  <c:v>707.69086840818704</c:v>
                </c:pt>
                <c:pt idx="81">
                  <c:v>707.748244650522</c:v>
                </c:pt>
                <c:pt idx="82">
                  <c:v>707.90161097724297</c:v>
                </c:pt>
                <c:pt idx="83">
                  <c:v>711.84315309658098</c:v>
                </c:pt>
                <c:pt idx="84">
                  <c:v>714.83732396730602</c:v>
                </c:pt>
                <c:pt idx="85">
                  <c:v>720.19890459093301</c:v>
                </c:pt>
                <c:pt idx="86">
                  <c:v>721.748341098428</c:v>
                </c:pt>
                <c:pt idx="87">
                  <c:v>723.07095502785796</c:v>
                </c:pt>
                <c:pt idx="88">
                  <c:v>726.39551848625297</c:v>
                </c:pt>
                <c:pt idx="89">
                  <c:v>729.500155728462</c:v>
                </c:pt>
                <c:pt idx="90">
                  <c:v>733.12768706873896</c:v>
                </c:pt>
                <c:pt idx="91">
                  <c:v>734.78199648175701</c:v>
                </c:pt>
                <c:pt idx="92">
                  <c:v>735.12138253193098</c:v>
                </c:pt>
                <c:pt idx="93">
                  <c:v>736.82885622450999</c:v>
                </c:pt>
                <c:pt idx="94">
                  <c:v>737.08606755774497</c:v>
                </c:pt>
                <c:pt idx="95">
                  <c:v>737.54280892011195</c:v>
                </c:pt>
                <c:pt idx="96">
                  <c:v>737.72988140011603</c:v>
                </c:pt>
                <c:pt idx="97">
                  <c:v>738.12941848098296</c:v>
                </c:pt>
                <c:pt idx="98">
                  <c:v>740.993517375088</c:v>
                </c:pt>
                <c:pt idx="99">
                  <c:v>741.33141491563504</c:v>
                </c:pt>
                <c:pt idx="100">
                  <c:v>742.25913330727894</c:v>
                </c:pt>
                <c:pt idx="101">
                  <c:v>742.54743437996103</c:v>
                </c:pt>
                <c:pt idx="102">
                  <c:v>744.606529209668</c:v>
                </c:pt>
                <c:pt idx="103">
                  <c:v>744.897828016826</c:v>
                </c:pt>
                <c:pt idx="104">
                  <c:v>745.69386413806399</c:v>
                </c:pt>
                <c:pt idx="105">
                  <c:v>745.77642098425304</c:v>
                </c:pt>
                <c:pt idx="106">
                  <c:v>747.18857787346303</c:v>
                </c:pt>
                <c:pt idx="107">
                  <c:v>748.15173268858996</c:v>
                </c:pt>
                <c:pt idx="108">
                  <c:v>748.875815078708</c:v>
                </c:pt>
                <c:pt idx="109">
                  <c:v>750.21235339962698</c:v>
                </c:pt>
                <c:pt idx="110">
                  <c:v>750.84518316825995</c:v>
                </c:pt>
                <c:pt idx="111">
                  <c:v>750.90675695633104</c:v>
                </c:pt>
                <c:pt idx="112">
                  <c:v>752.70289679548205</c:v>
                </c:pt>
                <c:pt idx="113">
                  <c:v>752.83411218045899</c:v>
                </c:pt>
                <c:pt idx="114">
                  <c:v>754.27187672679702</c:v>
                </c:pt>
                <c:pt idx="115">
                  <c:v>755.12358395904096</c:v>
                </c:pt>
                <c:pt idx="116">
                  <c:v>755.50000797667894</c:v>
                </c:pt>
                <c:pt idx="117">
                  <c:v>757.16628527139005</c:v>
                </c:pt>
                <c:pt idx="118">
                  <c:v>759.03670544152499</c:v>
                </c:pt>
                <c:pt idx="119">
                  <c:v>769.55457672633804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41-0E4E-949D-D228534FB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9273488"/>
        <c:axId val="1709293584"/>
      </c:scatterChart>
      <c:valAx>
        <c:axId val="170927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293584"/>
        <c:crosses val="autoZero"/>
        <c:crossBetween val="midCat"/>
      </c:valAx>
      <c:valAx>
        <c:axId val="170929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273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'second half'!$F$1</c:f>
              <c:strCache>
                <c:ptCount val="1"/>
                <c:pt idx="0">
                  <c:v>AUC.differentiation.with.BRQ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'second half'!$E$2:$E$122</c:f>
              <c:numCache>
                <c:formatCode>General</c:formatCode>
                <c:ptCount val="121"/>
                <c:pt idx="0">
                  <c:v>18.183026137341798</c:v>
                </c:pt>
                <c:pt idx="1">
                  <c:v>752.09086264451605</c:v>
                </c:pt>
                <c:pt idx="2">
                  <c:v>169.240155733546</c:v>
                </c:pt>
                <c:pt idx="3">
                  <c:v>360.646577145354</c:v>
                </c:pt>
                <c:pt idx="4">
                  <c:v>229.15827176413299</c:v>
                </c:pt>
                <c:pt idx="5">
                  <c:v>370.58961980461203</c:v>
                </c:pt>
                <c:pt idx="6">
                  <c:v>206.43686017241001</c:v>
                </c:pt>
                <c:pt idx="7">
                  <c:v>322.92899365232103</c:v>
                </c:pt>
                <c:pt idx="8">
                  <c:v>729.71975969022401</c:v>
                </c:pt>
                <c:pt idx="9">
                  <c:v>463.00273771038098</c:v>
                </c:pt>
                <c:pt idx="10">
                  <c:v>560.82259871051201</c:v>
                </c:pt>
                <c:pt idx="11">
                  <c:v>1087.9756059507099</c:v>
                </c:pt>
                <c:pt idx="12">
                  <c:v>459.13819613196199</c:v>
                </c:pt>
                <c:pt idx="13">
                  <c:v>287.28912828488501</c:v>
                </c:pt>
                <c:pt idx="14">
                  <c:v>480.93104181431897</c:v>
                </c:pt>
                <c:pt idx="15">
                  <c:v>463.28370740272601</c:v>
                </c:pt>
                <c:pt idx="16">
                  <c:v>732.04949847379396</c:v>
                </c:pt>
                <c:pt idx="17">
                  <c:v>652.03201674854404</c:v>
                </c:pt>
                <c:pt idx="18">
                  <c:v>819.27832445054196</c:v>
                </c:pt>
                <c:pt idx="19">
                  <c:v>943.32579243098598</c:v>
                </c:pt>
                <c:pt idx="20">
                  <c:v>623.49888302617205</c:v>
                </c:pt>
                <c:pt idx="21">
                  <c:v>592.59344958865495</c:v>
                </c:pt>
                <c:pt idx="22">
                  <c:v>213.85643835595599</c:v>
                </c:pt>
                <c:pt idx="23">
                  <c:v>608.04435420903303</c:v>
                </c:pt>
                <c:pt idx="24">
                  <c:v>792.97124039615596</c:v>
                </c:pt>
                <c:pt idx="25">
                  <c:v>433.416814408162</c:v>
                </c:pt>
                <c:pt idx="26">
                  <c:v>340.27371297636898</c:v>
                </c:pt>
                <c:pt idx="27">
                  <c:v>767.76339982886395</c:v>
                </c:pt>
                <c:pt idx="28">
                  <c:v>672.68460003188795</c:v>
                </c:pt>
                <c:pt idx="29">
                  <c:v>764.96615607455601</c:v>
                </c:pt>
                <c:pt idx="30">
                  <c:v>795.36512304327903</c:v>
                </c:pt>
                <c:pt idx="31">
                  <c:v>859.83390700665996</c:v>
                </c:pt>
                <c:pt idx="32">
                  <c:v>741.21286511786604</c:v>
                </c:pt>
                <c:pt idx="33">
                  <c:v>736.32054821431598</c:v>
                </c:pt>
                <c:pt idx="34">
                  <c:v>632.33784978902304</c:v>
                </c:pt>
                <c:pt idx="35">
                  <c:v>655.61087924992898</c:v>
                </c:pt>
                <c:pt idx="36">
                  <c:v>814.64456008994102</c:v>
                </c:pt>
                <c:pt idx="37">
                  <c:v>827.61481637530403</c:v>
                </c:pt>
                <c:pt idx="38">
                  <c:v>823.06950392592103</c:v>
                </c:pt>
                <c:pt idx="39">
                  <c:v>799.04196544022602</c:v>
                </c:pt>
                <c:pt idx="40">
                  <c:v>839.28629914982503</c:v>
                </c:pt>
                <c:pt idx="41">
                  <c:v>795.39193577687104</c:v>
                </c:pt>
                <c:pt idx="42">
                  <c:v>799.46838556923399</c:v>
                </c:pt>
                <c:pt idx="43">
                  <c:v>797.32671868038994</c:v>
                </c:pt>
                <c:pt idx="44">
                  <c:v>799.36334619258605</c:v>
                </c:pt>
                <c:pt idx="45">
                  <c:v>769.77430390070003</c:v>
                </c:pt>
                <c:pt idx="46">
                  <c:v>810.694565427513</c:v>
                </c:pt>
                <c:pt idx="47">
                  <c:v>781.55679549662796</c:v>
                </c:pt>
                <c:pt idx="48">
                  <c:v>712.45505620076597</c:v>
                </c:pt>
                <c:pt idx="49">
                  <c:v>780.31022122106299</c:v>
                </c:pt>
                <c:pt idx="50">
                  <c:v>786.60523959013005</c:v>
                </c:pt>
                <c:pt idx="51">
                  <c:v>823.95802831512106</c:v>
                </c:pt>
                <c:pt idx="52">
                  <c:v>729.32417353619303</c:v>
                </c:pt>
                <c:pt idx="53">
                  <c:v>722.60954477311702</c:v>
                </c:pt>
                <c:pt idx="54">
                  <c:v>794.50599081731696</c:v>
                </c:pt>
                <c:pt idx="55">
                  <c:v>675.54367789018795</c:v>
                </c:pt>
                <c:pt idx="56">
                  <c:v>582.43459582451101</c:v>
                </c:pt>
                <c:pt idx="57">
                  <c:v>732.95383193320799</c:v>
                </c:pt>
                <c:pt idx="58">
                  <c:v>715.55110039344697</c:v>
                </c:pt>
                <c:pt idx="59">
                  <c:v>588.81410759608104</c:v>
                </c:pt>
                <c:pt idx="60">
                  <c:v>703.00730054074802</c:v>
                </c:pt>
                <c:pt idx="61">
                  <c:v>699.81368160872</c:v>
                </c:pt>
                <c:pt idx="62">
                  <c:v>693.78329470673395</c:v>
                </c:pt>
                <c:pt idx="63">
                  <c:v>711.65517466875997</c:v>
                </c:pt>
                <c:pt idx="64">
                  <c:v>738.58762503247601</c:v>
                </c:pt>
                <c:pt idx="65">
                  <c:v>712.43737522231004</c:v>
                </c:pt>
                <c:pt idx="66">
                  <c:v>743.055927355417</c:v>
                </c:pt>
                <c:pt idx="67">
                  <c:v>716.75867873565096</c:v>
                </c:pt>
                <c:pt idx="68">
                  <c:v>740.76003830240495</c:v>
                </c:pt>
                <c:pt idx="69">
                  <c:v>754.371170987852</c:v>
                </c:pt>
                <c:pt idx="70">
                  <c:v>700.24829507339302</c:v>
                </c:pt>
                <c:pt idx="71">
                  <c:v>757.77678744185505</c:v>
                </c:pt>
                <c:pt idx="72">
                  <c:v>576.77944049429595</c:v>
                </c:pt>
                <c:pt idx="73">
                  <c:v>698.53251236374501</c:v>
                </c:pt>
                <c:pt idx="74">
                  <c:v>710.38814523654298</c:v>
                </c:pt>
                <c:pt idx="75">
                  <c:v>765.27511675141204</c:v>
                </c:pt>
                <c:pt idx="76">
                  <c:v>767.859279467428</c:v>
                </c:pt>
                <c:pt idx="77">
                  <c:v>765.82734068478101</c:v>
                </c:pt>
                <c:pt idx="78">
                  <c:v>764.48243945310401</c:v>
                </c:pt>
                <c:pt idx="79">
                  <c:v>753.48392974674903</c:v>
                </c:pt>
                <c:pt idx="80">
                  <c:v>748.77004679953404</c:v>
                </c:pt>
                <c:pt idx="81">
                  <c:v>707.42782388182195</c:v>
                </c:pt>
                <c:pt idx="82">
                  <c:v>703.90399456948899</c:v>
                </c:pt>
                <c:pt idx="83">
                  <c:v>744.85546280227595</c:v>
                </c:pt>
                <c:pt idx="84">
                  <c:v>701.11739249764605</c:v>
                </c:pt>
                <c:pt idx="85">
                  <c:v>610.985562417138</c:v>
                </c:pt>
                <c:pt idx="86">
                  <c:v>725.40527705251998</c:v>
                </c:pt>
                <c:pt idx="87">
                  <c:v>274.86220042480102</c:v>
                </c:pt>
                <c:pt idx="88">
                  <c:v>860.16918998183098</c:v>
                </c:pt>
                <c:pt idx="89">
                  <c:v>616.64724422824702</c:v>
                </c:pt>
                <c:pt idx="90">
                  <c:v>661.31071067733603</c:v>
                </c:pt>
                <c:pt idx="91">
                  <c:v>698.55965696403905</c:v>
                </c:pt>
                <c:pt idx="92">
                  <c:v>692.96640065126303</c:v>
                </c:pt>
                <c:pt idx="93">
                  <c:v>688.75414763701804</c:v>
                </c:pt>
                <c:pt idx="94">
                  <c:v>702.58301745766403</c:v>
                </c:pt>
                <c:pt idx="95">
                  <c:v>653.99810377083395</c:v>
                </c:pt>
                <c:pt idx="96">
                  <c:v>647.07100199248396</c:v>
                </c:pt>
                <c:pt idx="97">
                  <c:v>683.07068162568999</c:v>
                </c:pt>
                <c:pt idx="98">
                  <c:v>677.67990696838103</c:v>
                </c:pt>
                <c:pt idx="99">
                  <c:v>689.79925356602496</c:v>
                </c:pt>
                <c:pt idx="100">
                  <c:v>695.450824037139</c:v>
                </c:pt>
                <c:pt idx="101">
                  <c:v>639.71476914776395</c:v>
                </c:pt>
                <c:pt idx="102">
                  <c:v>675.02912006086694</c:v>
                </c:pt>
                <c:pt idx="103">
                  <c:v>684.287640454913</c:v>
                </c:pt>
                <c:pt idx="104">
                  <c:v>689.60146785424195</c:v>
                </c:pt>
                <c:pt idx="105">
                  <c:v>652.88300650839994</c:v>
                </c:pt>
                <c:pt idx="106">
                  <c:v>650.388599064044</c:v>
                </c:pt>
                <c:pt idx="107">
                  <c:v>630.16379651493196</c:v>
                </c:pt>
                <c:pt idx="108">
                  <c:v>658.86062226564002</c:v>
                </c:pt>
                <c:pt idx="109">
                  <c:v>618.39297762414799</c:v>
                </c:pt>
                <c:pt idx="110">
                  <c:v>666.66876419381094</c:v>
                </c:pt>
                <c:pt idx="111">
                  <c:v>586.84288368339196</c:v>
                </c:pt>
                <c:pt idx="112">
                  <c:v>598.14347541222605</c:v>
                </c:pt>
                <c:pt idx="113">
                  <c:v>614.21549984458795</c:v>
                </c:pt>
                <c:pt idx="114">
                  <c:v>578.18246432478497</c:v>
                </c:pt>
                <c:pt idx="115">
                  <c:v>633.49722089153499</c:v>
                </c:pt>
                <c:pt idx="116">
                  <c:v>639.48838641273403</c:v>
                </c:pt>
                <c:pt idx="117">
                  <c:v>607.46393983723101</c:v>
                </c:pt>
                <c:pt idx="118">
                  <c:v>528.68440992416402</c:v>
                </c:pt>
                <c:pt idx="119">
                  <c:v>374.01941674822899</c:v>
                </c:pt>
              </c:numCache>
            </c:numRef>
          </c:xVal>
          <c:yVal>
            <c:numRef>
              <c:f>'second half'!$F$2:$F$122</c:f>
              <c:numCache>
                <c:formatCode>General</c:formatCode>
                <c:ptCount val="121"/>
                <c:pt idx="0">
                  <c:v>85.5555555555556</c:v>
                </c:pt>
                <c:pt idx="1">
                  <c:v>98.628332861536293</c:v>
                </c:pt>
                <c:pt idx="2">
                  <c:v>228.24414811932601</c:v>
                </c:pt>
                <c:pt idx="3">
                  <c:v>252.94960188339499</c:v>
                </c:pt>
                <c:pt idx="4">
                  <c:v>261.44621206262599</c:v>
                </c:pt>
                <c:pt idx="5">
                  <c:v>261.89790097982302</c:v>
                </c:pt>
                <c:pt idx="6">
                  <c:v>263.396631747117</c:v>
                </c:pt>
                <c:pt idx="7">
                  <c:v>298.49795947624102</c:v>
                </c:pt>
                <c:pt idx="8">
                  <c:v>303.0477408584</c:v>
                </c:pt>
                <c:pt idx="9">
                  <c:v>348.055377200691</c:v>
                </c:pt>
                <c:pt idx="10">
                  <c:v>372.62652744142099</c:v>
                </c:pt>
                <c:pt idx="11">
                  <c:v>388.12529925067201</c:v>
                </c:pt>
                <c:pt idx="12">
                  <c:v>399.544030313321</c:v>
                </c:pt>
                <c:pt idx="13">
                  <c:v>425.41831307157798</c:v>
                </c:pt>
                <c:pt idx="14">
                  <c:v>444.942477553115</c:v>
                </c:pt>
                <c:pt idx="15">
                  <c:v>466.03959338839297</c:v>
                </c:pt>
                <c:pt idx="16">
                  <c:v>472.47379936851002</c:v>
                </c:pt>
                <c:pt idx="17">
                  <c:v>504.59519186271302</c:v>
                </c:pt>
                <c:pt idx="18">
                  <c:v>517.59630958079299</c:v>
                </c:pt>
                <c:pt idx="19">
                  <c:v>527.15393075098802</c:v>
                </c:pt>
                <c:pt idx="20">
                  <c:v>541.03431295397104</c:v>
                </c:pt>
                <c:pt idx="21">
                  <c:v>544.43196980394305</c:v>
                </c:pt>
                <c:pt idx="22">
                  <c:v>547.271113282952</c:v>
                </c:pt>
                <c:pt idx="23">
                  <c:v>560.720242835813</c:v>
                </c:pt>
                <c:pt idx="24">
                  <c:v>592.78342832502506</c:v>
                </c:pt>
                <c:pt idx="25">
                  <c:v>602.42611174465299</c:v>
                </c:pt>
                <c:pt idx="26">
                  <c:v>612.92402781090595</c:v>
                </c:pt>
                <c:pt idx="27">
                  <c:v>618.64273524428302</c:v>
                </c:pt>
                <c:pt idx="28">
                  <c:v>628.12512394014902</c:v>
                </c:pt>
                <c:pt idx="29">
                  <c:v>635.98374797497695</c:v>
                </c:pt>
                <c:pt idx="30">
                  <c:v>639.43914238685102</c:v>
                </c:pt>
                <c:pt idx="31">
                  <c:v>639.44676998573698</c:v>
                </c:pt>
                <c:pt idx="32">
                  <c:v>639.54416175767301</c:v>
                </c:pt>
                <c:pt idx="33">
                  <c:v>639.94387041681296</c:v>
                </c:pt>
                <c:pt idx="34">
                  <c:v>642.64438700495998</c:v>
                </c:pt>
                <c:pt idx="35">
                  <c:v>644.10820002528203</c:v>
                </c:pt>
                <c:pt idx="36">
                  <c:v>644.28616779619199</c:v>
                </c:pt>
                <c:pt idx="37">
                  <c:v>644.994780140545</c:v>
                </c:pt>
                <c:pt idx="38">
                  <c:v>646.67046563289</c:v>
                </c:pt>
                <c:pt idx="39">
                  <c:v>648.67200986392504</c:v>
                </c:pt>
                <c:pt idx="40">
                  <c:v>655.08640444374998</c:v>
                </c:pt>
                <c:pt idx="41">
                  <c:v>656.78278907779998</c:v>
                </c:pt>
                <c:pt idx="42">
                  <c:v>659.03036067140704</c:v>
                </c:pt>
                <c:pt idx="43">
                  <c:v>659.78663337458795</c:v>
                </c:pt>
                <c:pt idx="44">
                  <c:v>662.810417327648</c:v>
                </c:pt>
                <c:pt idx="45">
                  <c:v>666.06499927213599</c:v>
                </c:pt>
                <c:pt idx="46">
                  <c:v>670.127320469599</c:v>
                </c:pt>
                <c:pt idx="47">
                  <c:v>670.95269420647696</c:v>
                </c:pt>
                <c:pt idx="48">
                  <c:v>672.146771117605</c:v>
                </c:pt>
                <c:pt idx="49">
                  <c:v>674.00656957902095</c:v>
                </c:pt>
                <c:pt idx="50">
                  <c:v>675.94095165106296</c:v>
                </c:pt>
                <c:pt idx="51">
                  <c:v>679.00576848356604</c:v>
                </c:pt>
                <c:pt idx="52">
                  <c:v>680.16785130508799</c:v>
                </c:pt>
                <c:pt idx="53">
                  <c:v>681.48672690494095</c:v>
                </c:pt>
                <c:pt idx="54">
                  <c:v>683.04273501843704</c:v>
                </c:pt>
                <c:pt idx="55">
                  <c:v>688.31409120420506</c:v>
                </c:pt>
                <c:pt idx="56">
                  <c:v>689.68787688875898</c:v>
                </c:pt>
                <c:pt idx="57">
                  <c:v>690.64539055727698</c:v>
                </c:pt>
                <c:pt idx="58">
                  <c:v>691.97788828853402</c:v>
                </c:pt>
                <c:pt idx="59">
                  <c:v>692.91814764347203</c:v>
                </c:pt>
                <c:pt idx="60">
                  <c:v>693.60633259176302</c:v>
                </c:pt>
                <c:pt idx="61">
                  <c:v>693.61554450620599</c:v>
                </c:pt>
                <c:pt idx="62">
                  <c:v>693.93241592222796</c:v>
                </c:pt>
                <c:pt idx="63">
                  <c:v>698.07766735735595</c:v>
                </c:pt>
                <c:pt idx="64">
                  <c:v>699.43531576588998</c:v>
                </c:pt>
                <c:pt idx="65">
                  <c:v>700.82602418008605</c:v>
                </c:pt>
                <c:pt idx="66">
                  <c:v>701.13347050333596</c:v>
                </c:pt>
                <c:pt idx="67">
                  <c:v>702.47512730455401</c:v>
                </c:pt>
                <c:pt idx="68">
                  <c:v>703.04749161839902</c:v>
                </c:pt>
                <c:pt idx="69">
                  <c:v>703.41981685469398</c:v>
                </c:pt>
                <c:pt idx="70">
                  <c:v>704.28674341614305</c:v>
                </c:pt>
                <c:pt idx="71">
                  <c:v>704.49825047694799</c:v>
                </c:pt>
                <c:pt idx="72">
                  <c:v>704.70762705310199</c:v>
                </c:pt>
                <c:pt idx="73">
                  <c:v>704.87878245162699</c:v>
                </c:pt>
                <c:pt idx="74">
                  <c:v>704.91502564857296</c:v>
                </c:pt>
                <c:pt idx="75">
                  <c:v>705.30337174299905</c:v>
                </c:pt>
                <c:pt idx="76">
                  <c:v>705.64172181500805</c:v>
                </c:pt>
                <c:pt idx="77">
                  <c:v>706.28328514461703</c:v>
                </c:pt>
                <c:pt idx="78">
                  <c:v>706.66690475595396</c:v>
                </c:pt>
                <c:pt idx="79">
                  <c:v>707.456038975865</c:v>
                </c:pt>
                <c:pt idx="80">
                  <c:v>707.69086840818704</c:v>
                </c:pt>
                <c:pt idx="81">
                  <c:v>707.748244650522</c:v>
                </c:pt>
                <c:pt idx="82">
                  <c:v>707.90161097724297</c:v>
                </c:pt>
                <c:pt idx="83">
                  <c:v>711.84315309658098</c:v>
                </c:pt>
                <c:pt idx="84">
                  <c:v>714.83732396730602</c:v>
                </c:pt>
                <c:pt idx="85">
                  <c:v>720.19890459093301</c:v>
                </c:pt>
                <c:pt idx="86">
                  <c:v>721.748341098428</c:v>
                </c:pt>
                <c:pt idx="87">
                  <c:v>723.07095502785796</c:v>
                </c:pt>
                <c:pt idx="88">
                  <c:v>726.39551848625297</c:v>
                </c:pt>
                <c:pt idx="89">
                  <c:v>729.500155728462</c:v>
                </c:pt>
                <c:pt idx="90">
                  <c:v>733.12768706873896</c:v>
                </c:pt>
                <c:pt idx="91">
                  <c:v>734.78199648175701</c:v>
                </c:pt>
                <c:pt idx="92">
                  <c:v>735.12138253193098</c:v>
                </c:pt>
                <c:pt idx="93">
                  <c:v>736.82885622450999</c:v>
                </c:pt>
                <c:pt idx="94">
                  <c:v>737.08606755774497</c:v>
                </c:pt>
                <c:pt idx="95">
                  <c:v>737.54280892011195</c:v>
                </c:pt>
                <c:pt idx="96">
                  <c:v>737.72988140011603</c:v>
                </c:pt>
                <c:pt idx="97">
                  <c:v>738.12941848098296</c:v>
                </c:pt>
                <c:pt idx="98">
                  <c:v>740.993517375088</c:v>
                </c:pt>
                <c:pt idx="99">
                  <c:v>741.33141491563504</c:v>
                </c:pt>
                <c:pt idx="100">
                  <c:v>742.25913330727894</c:v>
                </c:pt>
                <c:pt idx="101">
                  <c:v>742.54743437996103</c:v>
                </c:pt>
                <c:pt idx="102">
                  <c:v>744.606529209668</c:v>
                </c:pt>
                <c:pt idx="103">
                  <c:v>744.897828016826</c:v>
                </c:pt>
                <c:pt idx="104">
                  <c:v>745.69386413806399</c:v>
                </c:pt>
                <c:pt idx="105">
                  <c:v>745.77642098425304</c:v>
                </c:pt>
                <c:pt idx="106">
                  <c:v>747.18857787346303</c:v>
                </c:pt>
                <c:pt idx="107">
                  <c:v>748.15173268858996</c:v>
                </c:pt>
                <c:pt idx="108">
                  <c:v>748.875815078708</c:v>
                </c:pt>
                <c:pt idx="109">
                  <c:v>750.21235339962698</c:v>
                </c:pt>
                <c:pt idx="110">
                  <c:v>750.84518316825995</c:v>
                </c:pt>
                <c:pt idx="111">
                  <c:v>750.90675695633104</c:v>
                </c:pt>
                <c:pt idx="112">
                  <c:v>752.70289679548205</c:v>
                </c:pt>
                <c:pt idx="113">
                  <c:v>752.83411218045899</c:v>
                </c:pt>
                <c:pt idx="114">
                  <c:v>754.27187672679702</c:v>
                </c:pt>
                <c:pt idx="115">
                  <c:v>755.12358395904096</c:v>
                </c:pt>
                <c:pt idx="116">
                  <c:v>755.50000797667894</c:v>
                </c:pt>
                <c:pt idx="117">
                  <c:v>757.16628527139005</c:v>
                </c:pt>
                <c:pt idx="118">
                  <c:v>759.03670544152499</c:v>
                </c:pt>
                <c:pt idx="119">
                  <c:v>769.55457672633804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E7-574A-8421-4E771723A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867904"/>
        <c:axId val="1706417984"/>
      </c:scatterChart>
      <c:valAx>
        <c:axId val="1708867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417984"/>
        <c:crosses val="autoZero"/>
        <c:crossBetween val="midCat"/>
      </c:valAx>
      <c:valAx>
        <c:axId val="170641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867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14</xdr:row>
      <xdr:rowOff>88900</xdr:rowOff>
    </xdr:from>
    <xdr:to>
      <xdr:col>11</xdr:col>
      <xdr:colOff>1289050</xdr:colOff>
      <xdr:row>30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DBFDB5-C2A3-7C40-9479-83617EA94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1593850</xdr:colOff>
      <xdr:row>25</xdr:row>
      <xdr:rowOff>50800</xdr:rowOff>
    </xdr:from>
    <xdr:to>
      <xdr:col>11</xdr:col>
      <xdr:colOff>158750</xdr:colOff>
      <xdr:row>38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6150562-AD0C-5545-85FF-884CBE0D8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44450</xdr:colOff>
      <xdr:row>10</xdr:row>
      <xdr:rowOff>190500</xdr:rowOff>
    </xdr:from>
    <xdr:to>
      <xdr:col>12</xdr:col>
      <xdr:colOff>488950</xdr:colOff>
      <xdr:row>24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394BA9-05D5-1543-AD0A-54B04F232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260350</xdr:colOff>
      <xdr:row>26</xdr:row>
      <xdr:rowOff>50800</xdr:rowOff>
    </xdr:from>
    <xdr:to>
      <xdr:col>12</xdr:col>
      <xdr:colOff>704850</xdr:colOff>
      <xdr:row>39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ACC940-F3FA-9841-94C2-525030C742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514350</xdr:colOff>
      <xdr:row>8</xdr:row>
      <xdr:rowOff>12700</xdr:rowOff>
    </xdr:from>
    <xdr:to>
      <xdr:col>15</xdr:col>
      <xdr:colOff>152400</xdr:colOff>
      <xdr:row>25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F65F96-907E-9840-93B7-3B6A3D0631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241"/>
  <sheetViews>
    <sheetView topLeftCell="A2" workbookViewId="0">
      <selection activeCell="Q27" sqref="Q27"/>
    </sheetView>
  </sheetViews>
  <sheetFormatPr baseColWidth="10" defaultRowHeight="16" x14ac:dyDescent="0.2"/>
  <cols>
    <col min="2" max="2" width="46.5" customWidth="1"/>
    <col min="3" max="5" width="10.83203125" customWidth="1"/>
    <col min="6" max="6" width="18.1640625" customWidth="1"/>
    <col min="7" max="7" width="25.83203125" customWidth="1"/>
    <col min="8" max="11" width="10.83203125" customWidth="1"/>
    <col min="12" max="12" width="18.1640625" customWidth="1"/>
    <col min="13" max="13" width="20.1640625" customWidth="1"/>
    <col min="14" max="14" width="10.83203125" customWidth="1"/>
    <col min="15" max="15" width="56.83203125" customWidth="1"/>
    <col min="16" max="16" width="51.33203125" customWidth="1"/>
    <col min="17" max="17" width="24.83203125" style="5" customWidth="1"/>
    <col min="18" max="18" width="21.83203125" customWidth="1"/>
    <col min="22" max="22" width="10.83203125" style="4"/>
    <col min="24" max="24" width="15" customWidth="1"/>
  </cols>
  <sheetData>
    <row r="1" spans="1:2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L1" t="s">
        <v>742</v>
      </c>
      <c r="N1" t="s">
        <v>743</v>
      </c>
      <c r="O1" s="2" t="s">
        <v>249</v>
      </c>
      <c r="P1" s="2" t="s">
        <v>249</v>
      </c>
      <c r="Q1" s="2" t="s">
        <v>249</v>
      </c>
      <c r="R1" s="3" t="s">
        <v>250</v>
      </c>
      <c r="S1" s="3" t="s">
        <v>251</v>
      </c>
      <c r="T1" s="3" t="s">
        <v>252</v>
      </c>
      <c r="U1" s="3" t="s">
        <v>252</v>
      </c>
      <c r="V1" s="4" t="s">
        <v>253</v>
      </c>
      <c r="W1" t="s">
        <v>254</v>
      </c>
      <c r="X1" t="s">
        <v>255</v>
      </c>
      <c r="Y1" t="s">
        <v>256</v>
      </c>
    </row>
    <row r="2" spans="1:25" ht="23" customHeight="1" x14ac:dyDescent="0.2">
      <c r="A2">
        <v>2</v>
      </c>
      <c r="B2">
        <v>968</v>
      </c>
      <c r="C2">
        <v>922.75378520738798</v>
      </c>
      <c r="D2">
        <v>0.70243563232545503</v>
      </c>
      <c r="E2">
        <v>1037.58603187536</v>
      </c>
      <c r="F2">
        <v>353.17457696405302</v>
      </c>
      <c r="G2">
        <v>12.444516458111099</v>
      </c>
      <c r="H2">
        <v>50178.567987054797</v>
      </c>
      <c r="I2" t="s">
        <v>9</v>
      </c>
      <c r="J2" t="s">
        <v>9</v>
      </c>
      <c r="L2">
        <v>234</v>
      </c>
      <c r="M2">
        <f>G2*-1</f>
        <v>-12.444516458111099</v>
      </c>
      <c r="N2">
        <v>7</v>
      </c>
      <c r="O2">
        <v>968</v>
      </c>
      <c r="P2" s="11">
        <v>968</v>
      </c>
      <c r="Q2" s="5">
        <v>968</v>
      </c>
      <c r="R2" t="s">
        <v>434</v>
      </c>
      <c r="S2" t="s">
        <v>441</v>
      </c>
      <c r="T2" t="s">
        <v>441</v>
      </c>
      <c r="U2" t="s">
        <v>260</v>
      </c>
      <c r="V2" s="4" t="s">
        <v>441</v>
      </c>
      <c r="W2">
        <v>2744</v>
      </c>
      <c r="X2" s="6" t="s">
        <v>262</v>
      </c>
      <c r="Y2" t="s">
        <v>442</v>
      </c>
    </row>
    <row r="3" spans="1:25" ht="16" customHeight="1" x14ac:dyDescent="0.2">
      <c r="A3">
        <v>3</v>
      </c>
      <c r="B3" t="s">
        <v>10</v>
      </c>
      <c r="C3">
        <v>894.91032215062603</v>
      </c>
      <c r="D3">
        <v>155.167101779554</v>
      </c>
      <c r="E3">
        <v>839.89296263079802</v>
      </c>
      <c r="F3">
        <v>505.79150759822801</v>
      </c>
      <c r="G3">
        <v>-6.1478070101606903</v>
      </c>
      <c r="H3">
        <v>225.965685894427</v>
      </c>
      <c r="I3" s="1">
        <v>6.7236516243561396E-6</v>
      </c>
      <c r="J3" s="1">
        <v>2.9388057189761999E-6</v>
      </c>
      <c r="L3">
        <v>121</v>
      </c>
      <c r="M3">
        <f>G3*-1</f>
        <v>6.1478070101606903</v>
      </c>
      <c r="N3">
        <v>120</v>
      </c>
      <c r="O3" t="s">
        <v>10</v>
      </c>
      <c r="P3" s="12" t="s">
        <v>720</v>
      </c>
      <c r="Q3" s="9" t="s">
        <v>720</v>
      </c>
      <c r="R3" s="8" t="s">
        <v>361</v>
      </c>
      <c r="S3" s="8" t="s">
        <v>721</v>
      </c>
      <c r="T3" s="8" t="s">
        <v>722</v>
      </c>
      <c r="U3" s="8" t="s">
        <v>364</v>
      </c>
      <c r="V3" s="10" t="s">
        <v>722</v>
      </c>
      <c r="W3" s="8">
        <v>7372</v>
      </c>
      <c r="X3" s="8" t="s">
        <v>262</v>
      </c>
      <c r="Y3" s="8" t="s">
        <v>723</v>
      </c>
    </row>
    <row r="4" spans="1:25" ht="16" customHeight="1" x14ac:dyDescent="0.2">
      <c r="A4">
        <v>4</v>
      </c>
      <c r="B4" t="s">
        <v>11</v>
      </c>
      <c r="C4">
        <v>922.95337006845705</v>
      </c>
      <c r="D4">
        <v>0.92003966712561103</v>
      </c>
      <c r="E4">
        <v>1030.3846982560201</v>
      </c>
      <c r="F4">
        <v>395.634837024511</v>
      </c>
      <c r="G4">
        <v>11.6399518839828</v>
      </c>
      <c r="H4">
        <v>42901.932542816699</v>
      </c>
      <c r="I4" t="s">
        <v>9</v>
      </c>
      <c r="J4" t="s">
        <v>9</v>
      </c>
      <c r="L4">
        <v>226</v>
      </c>
      <c r="M4">
        <f>G4*-1</f>
        <v>-11.6399518839828</v>
      </c>
      <c r="N4">
        <v>15</v>
      </c>
      <c r="O4" t="s">
        <v>11</v>
      </c>
      <c r="P4" s="11" t="s">
        <v>334</v>
      </c>
      <c r="Q4" s="5" t="s">
        <v>334</v>
      </c>
      <c r="R4" t="s">
        <v>308</v>
      </c>
      <c r="S4" t="s">
        <v>335</v>
      </c>
      <c r="T4" t="s">
        <v>335</v>
      </c>
      <c r="U4" t="s">
        <v>260</v>
      </c>
      <c r="V4" s="4" t="s">
        <v>336</v>
      </c>
      <c r="W4">
        <v>6389</v>
      </c>
      <c r="X4" s="6" t="s">
        <v>262</v>
      </c>
      <c r="Y4" t="s">
        <v>337</v>
      </c>
    </row>
    <row r="5" spans="1:25" x14ac:dyDescent="0.2">
      <c r="A5">
        <v>5</v>
      </c>
      <c r="B5" t="s">
        <v>12</v>
      </c>
      <c r="C5">
        <v>805.69134793220201</v>
      </c>
      <c r="D5">
        <v>76.410903751347405</v>
      </c>
      <c r="E5">
        <v>889.35052801479799</v>
      </c>
      <c r="F5">
        <v>384.90007956929702</v>
      </c>
      <c r="G5">
        <v>10.3835271779084</v>
      </c>
      <c r="H5">
        <v>403.72402454736101</v>
      </c>
      <c r="I5" s="1">
        <v>2.5689950995763102E-6</v>
      </c>
      <c r="J5" s="1">
        <v>2.9407394815923501E-6</v>
      </c>
      <c r="L5">
        <v>218</v>
      </c>
      <c r="M5">
        <f>G5*-1</f>
        <v>-10.3835271779084</v>
      </c>
      <c r="N5">
        <v>23</v>
      </c>
      <c r="O5" t="s">
        <v>12</v>
      </c>
      <c r="P5" s="11" t="s">
        <v>12</v>
      </c>
      <c r="Q5" s="5" t="s">
        <v>12</v>
      </c>
      <c r="R5" t="s">
        <v>303</v>
      </c>
      <c r="S5" t="s">
        <v>438</v>
      </c>
      <c r="T5" t="s">
        <v>438</v>
      </c>
      <c r="U5" t="s">
        <v>260</v>
      </c>
      <c r="V5" s="4" t="s">
        <v>439</v>
      </c>
      <c r="W5">
        <v>2678</v>
      </c>
      <c r="X5" s="6" t="s">
        <v>262</v>
      </c>
      <c r="Y5" t="s">
        <v>440</v>
      </c>
    </row>
    <row r="6" spans="1:25" x14ac:dyDescent="0.2">
      <c r="A6">
        <v>6</v>
      </c>
      <c r="B6" t="s">
        <v>13</v>
      </c>
      <c r="C6">
        <v>915.05640776254904</v>
      </c>
      <c r="D6">
        <v>0.64096554915287196</v>
      </c>
      <c r="E6">
        <v>998.05039208075902</v>
      </c>
      <c r="F6">
        <v>382.48645476292899</v>
      </c>
      <c r="G6">
        <v>9.0698216649991004</v>
      </c>
      <c r="H6">
        <v>59573.480933326297</v>
      </c>
      <c r="I6" t="s">
        <v>9</v>
      </c>
      <c r="J6" t="s">
        <v>9</v>
      </c>
      <c r="L6">
        <v>207</v>
      </c>
      <c r="M6">
        <f>G6*-1</f>
        <v>-9.0698216649991004</v>
      </c>
      <c r="N6">
        <v>34</v>
      </c>
      <c r="O6" t="s">
        <v>13</v>
      </c>
      <c r="P6" s="11" t="s">
        <v>356</v>
      </c>
      <c r="Q6" s="5" t="s">
        <v>356</v>
      </c>
      <c r="R6" t="s">
        <v>258</v>
      </c>
      <c r="S6" t="s">
        <v>357</v>
      </c>
      <c r="T6" t="s">
        <v>357</v>
      </c>
      <c r="U6" t="s">
        <v>260</v>
      </c>
      <c r="V6" s="4" t="s">
        <v>358</v>
      </c>
      <c r="W6">
        <v>1374</v>
      </c>
      <c r="X6" s="6" t="s">
        <v>262</v>
      </c>
      <c r="Y6" t="s">
        <v>359</v>
      </c>
    </row>
    <row r="7" spans="1:25" x14ac:dyDescent="0.2">
      <c r="A7">
        <v>7</v>
      </c>
      <c r="B7" t="s">
        <v>14</v>
      </c>
      <c r="C7">
        <v>512.49315017689105</v>
      </c>
      <c r="D7">
        <v>242.632747739396</v>
      </c>
      <c r="E7">
        <v>641.46456750540597</v>
      </c>
      <c r="F7">
        <v>534.00827709902705</v>
      </c>
      <c r="G7">
        <v>25.165490950269099</v>
      </c>
      <c r="H7">
        <v>120.089119079914</v>
      </c>
      <c r="I7" s="1">
        <v>3.6198774801167403E-8</v>
      </c>
      <c r="J7" t="s">
        <v>9</v>
      </c>
      <c r="L7">
        <v>238</v>
      </c>
      <c r="M7">
        <f>G7*-1</f>
        <v>-25.165490950269099</v>
      </c>
      <c r="N7">
        <v>3</v>
      </c>
      <c r="O7" t="s">
        <v>14</v>
      </c>
      <c r="P7" s="12" t="s">
        <v>505</v>
      </c>
      <c r="Q7" s="9" t="s">
        <v>505</v>
      </c>
      <c r="R7" s="8" t="s">
        <v>361</v>
      </c>
      <c r="S7" s="8" t="s">
        <v>506</v>
      </c>
      <c r="T7" s="8" t="s">
        <v>507</v>
      </c>
      <c r="U7" s="8" t="s">
        <v>364</v>
      </c>
      <c r="V7" s="10" t="s">
        <v>508</v>
      </c>
      <c r="W7" s="8">
        <v>3614</v>
      </c>
      <c r="X7" s="8" t="s">
        <v>262</v>
      </c>
      <c r="Y7" s="8" t="s">
        <v>509</v>
      </c>
    </row>
    <row r="8" spans="1:25" x14ac:dyDescent="0.2">
      <c r="A8">
        <v>8</v>
      </c>
      <c r="B8" t="s">
        <v>15</v>
      </c>
      <c r="C8">
        <v>912.48733628235505</v>
      </c>
      <c r="D8">
        <v>0.83846489894383003</v>
      </c>
      <c r="E8">
        <v>1010.56660075191</v>
      </c>
      <c r="F8">
        <v>396.08076197398401</v>
      </c>
      <c r="G8">
        <v>10.748561713650201</v>
      </c>
      <c r="H8">
        <v>47138.8006311184</v>
      </c>
      <c r="I8" t="s">
        <v>9</v>
      </c>
      <c r="J8" t="s">
        <v>9</v>
      </c>
      <c r="L8">
        <v>222</v>
      </c>
      <c r="M8">
        <f>G8*-1</f>
        <v>-10.748561713650201</v>
      </c>
      <c r="N8">
        <v>19</v>
      </c>
      <c r="O8" t="s">
        <v>15</v>
      </c>
      <c r="P8" t="s">
        <v>15</v>
      </c>
      <c r="Q8" s="5" t="s">
        <v>575</v>
      </c>
      <c r="R8" t="s">
        <v>303</v>
      </c>
      <c r="S8" t="s">
        <v>576</v>
      </c>
      <c r="T8" t="s">
        <v>576</v>
      </c>
      <c r="U8" t="s">
        <v>260</v>
      </c>
      <c r="V8" s="4" t="s">
        <v>576</v>
      </c>
      <c r="W8">
        <v>1728</v>
      </c>
      <c r="X8" s="6" t="s">
        <v>262</v>
      </c>
      <c r="Y8" t="s">
        <v>577</v>
      </c>
    </row>
    <row r="9" spans="1:25" x14ac:dyDescent="0.2">
      <c r="A9">
        <v>9</v>
      </c>
      <c r="B9" t="s">
        <v>16</v>
      </c>
      <c r="C9">
        <v>921.40113128065605</v>
      </c>
      <c r="D9">
        <v>0.80601066399502197</v>
      </c>
      <c r="E9">
        <v>1018.6753525538199</v>
      </c>
      <c r="F9">
        <v>387.24419402174698</v>
      </c>
      <c r="G9">
        <v>10.5572066248673</v>
      </c>
      <c r="H9">
        <v>47944.549696446498</v>
      </c>
      <c r="I9" t="s">
        <v>9</v>
      </c>
      <c r="J9" t="s">
        <v>9</v>
      </c>
      <c r="L9">
        <v>219</v>
      </c>
      <c r="M9">
        <f>G9*-1</f>
        <v>-10.5572066248673</v>
      </c>
      <c r="N9">
        <v>22</v>
      </c>
      <c r="O9" t="s">
        <v>16</v>
      </c>
      <c r="P9" s="11" t="s">
        <v>16</v>
      </c>
      <c r="Q9" s="5" t="s">
        <v>16</v>
      </c>
      <c r="R9" t="s">
        <v>308</v>
      </c>
      <c r="S9" t="s">
        <v>619</v>
      </c>
      <c r="T9" t="s">
        <v>619</v>
      </c>
      <c r="U9" t="s">
        <v>260</v>
      </c>
      <c r="X9" s="6" t="s">
        <v>262</v>
      </c>
    </row>
    <row r="10" spans="1:25" x14ac:dyDescent="0.2">
      <c r="A10">
        <v>10</v>
      </c>
      <c r="B10" s="5" t="s">
        <v>17</v>
      </c>
      <c r="C10">
        <v>931.31827390451394</v>
      </c>
      <c r="D10">
        <v>0.78179329404832298</v>
      </c>
      <c r="E10">
        <v>1010.24234474324</v>
      </c>
      <c r="F10">
        <v>403.57887030471102</v>
      </c>
      <c r="G10">
        <v>8.4744467117395494</v>
      </c>
      <c r="H10">
        <v>51522.196477905003</v>
      </c>
      <c r="I10" t="s">
        <v>9</v>
      </c>
      <c r="J10" t="s">
        <v>9</v>
      </c>
      <c r="L10">
        <v>196</v>
      </c>
      <c r="M10">
        <f>G10*-1</f>
        <v>-8.4744467117395494</v>
      </c>
      <c r="N10">
        <v>45</v>
      </c>
      <c r="O10" s="5" t="s">
        <v>17</v>
      </c>
      <c r="P10" s="11" t="s">
        <v>444</v>
      </c>
      <c r="Q10" s="5" t="s">
        <v>444</v>
      </c>
      <c r="R10" t="s">
        <v>445</v>
      </c>
      <c r="S10" t="s">
        <v>446</v>
      </c>
      <c r="T10" t="s">
        <v>446</v>
      </c>
      <c r="U10" t="s">
        <v>260</v>
      </c>
      <c r="V10" s="4" t="s">
        <v>447</v>
      </c>
      <c r="W10">
        <v>8972</v>
      </c>
      <c r="X10" s="6" t="s">
        <v>262</v>
      </c>
      <c r="Y10" t="s">
        <v>448</v>
      </c>
    </row>
    <row r="11" spans="1:25" x14ac:dyDescent="0.2">
      <c r="A11">
        <v>11</v>
      </c>
      <c r="B11" t="s">
        <v>18</v>
      </c>
      <c r="C11">
        <v>391.41012158042201</v>
      </c>
      <c r="D11">
        <v>277.05338737997499</v>
      </c>
      <c r="E11">
        <v>456.77871430544599</v>
      </c>
      <c r="F11">
        <v>450.01033646745998</v>
      </c>
      <c r="G11">
        <v>16.700792626690902</v>
      </c>
      <c r="H11">
        <v>62.427299923345302</v>
      </c>
      <c r="I11" s="1">
        <v>9.6186132721133601E-9</v>
      </c>
      <c r="J11" s="1">
        <v>6.7438541437418205E-8</v>
      </c>
      <c r="L11">
        <v>236</v>
      </c>
      <c r="M11">
        <f>G11*-1</f>
        <v>-16.700792626690902</v>
      </c>
      <c r="N11">
        <v>5</v>
      </c>
      <c r="O11" t="s">
        <v>18</v>
      </c>
      <c r="P11" s="12" t="s">
        <v>510</v>
      </c>
      <c r="Q11" s="9" t="s">
        <v>510</v>
      </c>
      <c r="R11" s="8" t="s">
        <v>361</v>
      </c>
      <c r="S11" s="8" t="s">
        <v>506</v>
      </c>
      <c r="T11" s="8" t="s">
        <v>507</v>
      </c>
      <c r="U11" s="8" t="s">
        <v>364</v>
      </c>
      <c r="V11" s="10" t="s">
        <v>508</v>
      </c>
      <c r="W11" s="8">
        <v>3614</v>
      </c>
      <c r="X11" s="8" t="s">
        <v>262</v>
      </c>
      <c r="Y11" s="8" t="s">
        <v>509</v>
      </c>
    </row>
    <row r="12" spans="1:25" x14ac:dyDescent="0.2">
      <c r="A12">
        <v>12</v>
      </c>
      <c r="B12" t="s">
        <v>19</v>
      </c>
      <c r="C12">
        <v>921.59396715929802</v>
      </c>
      <c r="D12">
        <v>0.88262103686355498</v>
      </c>
      <c r="E12">
        <v>1014.71063802486</v>
      </c>
      <c r="F12">
        <v>400.11858623856</v>
      </c>
      <c r="G12">
        <v>10.1038715729208</v>
      </c>
      <c r="H12">
        <v>45232.999047972502</v>
      </c>
      <c r="I12" t="s">
        <v>9</v>
      </c>
      <c r="J12" t="s">
        <v>9</v>
      </c>
      <c r="L12">
        <v>215</v>
      </c>
      <c r="M12">
        <f>G12*-1</f>
        <v>-10.1038715729208</v>
      </c>
      <c r="N12">
        <v>26</v>
      </c>
      <c r="O12" t="s">
        <v>19</v>
      </c>
      <c r="P12" s="11" t="s">
        <v>19</v>
      </c>
      <c r="Q12" s="5" t="s">
        <v>19</v>
      </c>
      <c r="R12" t="s">
        <v>414</v>
      </c>
      <c r="S12" t="s">
        <v>623</v>
      </c>
      <c r="T12" t="s">
        <v>623</v>
      </c>
      <c r="U12" t="s">
        <v>260</v>
      </c>
      <c r="V12" s="4" t="s">
        <v>623</v>
      </c>
      <c r="W12">
        <v>5209</v>
      </c>
      <c r="X12" s="6" t="s">
        <v>262</v>
      </c>
      <c r="Y12" t="s">
        <v>624</v>
      </c>
    </row>
    <row r="13" spans="1:25" x14ac:dyDescent="0.2">
      <c r="A13">
        <v>13</v>
      </c>
      <c r="B13" t="s">
        <v>20</v>
      </c>
      <c r="C13">
        <v>922.56715956500705</v>
      </c>
      <c r="D13">
        <v>0.604719692192631</v>
      </c>
      <c r="E13">
        <v>1019.97105955468</v>
      </c>
      <c r="F13">
        <v>411.12992809223499</v>
      </c>
      <c r="G13">
        <v>10.557919711297201</v>
      </c>
      <c r="H13">
        <v>67886.859597962495</v>
      </c>
      <c r="I13" t="s">
        <v>9</v>
      </c>
      <c r="J13" t="s">
        <v>9</v>
      </c>
      <c r="L13">
        <v>220</v>
      </c>
      <c r="M13">
        <f>G13*-1</f>
        <v>-10.557919711297201</v>
      </c>
      <c r="N13">
        <v>21</v>
      </c>
      <c r="O13" t="s">
        <v>20</v>
      </c>
      <c r="P13" s="11" t="s">
        <v>20</v>
      </c>
      <c r="Q13" s="5" t="s">
        <v>20</v>
      </c>
      <c r="R13" t="s">
        <v>303</v>
      </c>
      <c r="S13" t="s">
        <v>572</v>
      </c>
      <c r="T13" t="s">
        <v>572</v>
      </c>
      <c r="U13" t="s">
        <v>260</v>
      </c>
      <c r="V13" s="4" t="s">
        <v>573</v>
      </c>
      <c r="W13">
        <v>1536</v>
      </c>
      <c r="X13" s="6" t="s">
        <v>262</v>
      </c>
      <c r="Y13" t="s">
        <v>574</v>
      </c>
    </row>
    <row r="14" spans="1:25" x14ac:dyDescent="0.2">
      <c r="A14">
        <v>14</v>
      </c>
      <c r="B14" t="s">
        <v>21</v>
      </c>
      <c r="C14">
        <v>809.18642308848496</v>
      </c>
      <c r="D14">
        <v>25.783132316040099</v>
      </c>
      <c r="E14">
        <v>915.31542700449302</v>
      </c>
      <c r="F14">
        <v>416.653431742294</v>
      </c>
      <c r="G14">
        <v>13.115519599419001</v>
      </c>
      <c r="H14">
        <v>1515.99229540891</v>
      </c>
      <c r="I14" s="1">
        <v>1.7767316210427001E-6</v>
      </c>
      <c r="J14" s="1">
        <v>4.37046734562723E-6</v>
      </c>
      <c r="L14">
        <v>235</v>
      </c>
      <c r="M14">
        <f>G14*-1</f>
        <v>-13.115519599419001</v>
      </c>
      <c r="N14">
        <v>6</v>
      </c>
      <c r="O14" t="s">
        <v>21</v>
      </c>
      <c r="P14" s="11" t="s">
        <v>489</v>
      </c>
      <c r="Q14" s="5" t="s">
        <v>489</v>
      </c>
      <c r="R14" t="s">
        <v>406</v>
      </c>
      <c r="S14" t="s">
        <v>490</v>
      </c>
      <c r="T14" t="s">
        <v>490</v>
      </c>
      <c r="U14" t="s">
        <v>260</v>
      </c>
      <c r="V14" s="4" t="s">
        <v>491</v>
      </c>
      <c r="W14">
        <v>3320</v>
      </c>
      <c r="X14" s="6" t="s">
        <v>262</v>
      </c>
      <c r="Y14" t="s">
        <v>492</v>
      </c>
    </row>
    <row r="15" spans="1:25" x14ac:dyDescent="0.2">
      <c r="A15">
        <v>15</v>
      </c>
      <c r="B15" t="s">
        <v>22</v>
      </c>
      <c r="C15">
        <v>961.10482899951501</v>
      </c>
      <c r="D15">
        <v>10.5980294312991</v>
      </c>
      <c r="E15">
        <v>1011.94966362611</v>
      </c>
      <c r="F15">
        <v>384.85743394448502</v>
      </c>
      <c r="G15">
        <v>5.2902485860489996</v>
      </c>
      <c r="H15">
        <v>3531.40559704324</v>
      </c>
      <c r="I15" t="s">
        <v>9</v>
      </c>
      <c r="J15" t="s">
        <v>9</v>
      </c>
      <c r="L15">
        <v>167</v>
      </c>
      <c r="M15">
        <f>G15*-1</f>
        <v>-5.2902485860489996</v>
      </c>
      <c r="N15">
        <v>74</v>
      </c>
      <c r="O15" t="s">
        <v>22</v>
      </c>
      <c r="P15" s="12" t="s">
        <v>22</v>
      </c>
      <c r="Q15" s="9" t="s">
        <v>22</v>
      </c>
      <c r="R15" s="8" t="s">
        <v>361</v>
      </c>
      <c r="S15" s="8" t="s">
        <v>391</v>
      </c>
      <c r="T15" s="8" t="s">
        <v>391</v>
      </c>
      <c r="U15" s="8" t="s">
        <v>364</v>
      </c>
      <c r="V15" s="10" t="s">
        <v>391</v>
      </c>
      <c r="W15" s="8">
        <v>1723</v>
      </c>
      <c r="X15" s="8" t="s">
        <v>262</v>
      </c>
      <c r="Y15" s="8" t="s">
        <v>392</v>
      </c>
    </row>
    <row r="16" spans="1:25" x14ac:dyDescent="0.2">
      <c r="A16">
        <v>16</v>
      </c>
      <c r="B16" t="s">
        <v>23</v>
      </c>
      <c r="C16">
        <v>929.86416147163504</v>
      </c>
      <c r="D16">
        <v>1.60069724196536</v>
      </c>
      <c r="E16">
        <v>1016.393483254</v>
      </c>
      <c r="F16">
        <v>407.79824044644403</v>
      </c>
      <c r="G16">
        <v>9.3055873500293504</v>
      </c>
      <c r="H16">
        <v>25376.2880671764</v>
      </c>
      <c r="I16" t="s">
        <v>9</v>
      </c>
      <c r="J16" t="s">
        <v>9</v>
      </c>
      <c r="L16">
        <v>209</v>
      </c>
      <c r="M16">
        <f>G16*-1</f>
        <v>-9.3055873500293504</v>
      </c>
      <c r="N16">
        <v>32</v>
      </c>
      <c r="O16" t="s">
        <v>23</v>
      </c>
      <c r="P16" s="11" t="s">
        <v>23</v>
      </c>
      <c r="Q16" s="5" t="s">
        <v>23</v>
      </c>
      <c r="R16" t="s">
        <v>258</v>
      </c>
      <c r="S16" t="s">
        <v>522</v>
      </c>
      <c r="T16" t="s">
        <v>522</v>
      </c>
      <c r="U16" t="s">
        <v>260</v>
      </c>
      <c r="V16" s="4" t="s">
        <v>523</v>
      </c>
      <c r="W16">
        <v>2081</v>
      </c>
      <c r="X16" s="6" t="s">
        <v>262</v>
      </c>
      <c r="Y16" t="s">
        <v>524</v>
      </c>
    </row>
    <row r="17" spans="1:25" ht="17" customHeight="1" x14ac:dyDescent="0.2">
      <c r="A17">
        <v>17</v>
      </c>
      <c r="B17" t="s">
        <v>24</v>
      </c>
      <c r="C17">
        <v>928.639440692113</v>
      </c>
      <c r="D17">
        <v>0.63618005862882399</v>
      </c>
      <c r="E17">
        <v>1012.90708827614</v>
      </c>
      <c r="F17">
        <v>391.02479885628401</v>
      </c>
      <c r="G17">
        <v>9.0743127947729292</v>
      </c>
      <c r="H17">
        <v>61364.485337542697</v>
      </c>
      <c r="I17" t="s">
        <v>9</v>
      </c>
      <c r="J17" t="s">
        <v>9</v>
      </c>
      <c r="L17">
        <v>208</v>
      </c>
      <c r="M17">
        <f>G17*-1</f>
        <v>-9.0743127947729292</v>
      </c>
      <c r="N17">
        <v>33</v>
      </c>
      <c r="O17" t="s">
        <v>24</v>
      </c>
      <c r="P17" s="11" t="s">
        <v>493</v>
      </c>
      <c r="Q17" s="5" t="s">
        <v>493</v>
      </c>
      <c r="R17" t="s">
        <v>494</v>
      </c>
      <c r="S17" t="s">
        <v>495</v>
      </c>
      <c r="T17" t="s">
        <v>495</v>
      </c>
      <c r="U17" t="s">
        <v>260</v>
      </c>
      <c r="V17" s="4" t="s">
        <v>496</v>
      </c>
      <c r="W17">
        <v>3417</v>
      </c>
      <c r="X17" s="6" t="s">
        <v>262</v>
      </c>
      <c r="Y17" t="s">
        <v>497</v>
      </c>
    </row>
    <row r="18" spans="1:25" x14ac:dyDescent="0.2">
      <c r="A18">
        <v>18</v>
      </c>
      <c r="B18" t="s">
        <v>25</v>
      </c>
      <c r="C18">
        <v>941.98467991647703</v>
      </c>
      <c r="D18">
        <v>0.87405333865756996</v>
      </c>
      <c r="E18">
        <v>1009.98279777167</v>
      </c>
      <c r="F18">
        <v>384.32575042227597</v>
      </c>
      <c r="G18">
        <v>7.2186012474446599</v>
      </c>
      <c r="H18">
        <v>43870.514546920997</v>
      </c>
      <c r="I18" t="s">
        <v>9</v>
      </c>
      <c r="J18" t="s">
        <v>9</v>
      </c>
      <c r="L18">
        <v>186</v>
      </c>
      <c r="M18">
        <f>G18*-1</f>
        <v>-7.2186012474446599</v>
      </c>
      <c r="N18">
        <v>55</v>
      </c>
      <c r="O18" t="s">
        <v>25</v>
      </c>
      <c r="P18" t="s">
        <v>209</v>
      </c>
      <c r="Q18" s="5" t="s">
        <v>464</v>
      </c>
      <c r="R18" t="s">
        <v>303</v>
      </c>
      <c r="S18" t="s">
        <v>461</v>
      </c>
      <c r="T18" t="s">
        <v>461</v>
      </c>
      <c r="U18" t="s">
        <v>260</v>
      </c>
      <c r="V18" s="4" t="s">
        <v>465</v>
      </c>
      <c r="W18">
        <v>2936</v>
      </c>
      <c r="X18" s="6" t="s">
        <v>262</v>
      </c>
      <c r="Y18" t="s">
        <v>466</v>
      </c>
    </row>
    <row r="19" spans="1:25" x14ac:dyDescent="0.2">
      <c r="A19">
        <v>19</v>
      </c>
      <c r="B19" t="s">
        <v>26</v>
      </c>
      <c r="C19">
        <v>940.671895162081</v>
      </c>
      <c r="D19">
        <v>0.65683637772266101</v>
      </c>
      <c r="E19">
        <v>993.83163736301799</v>
      </c>
      <c r="F19">
        <v>403.658544447098</v>
      </c>
      <c r="G19">
        <v>5.6512523095821399</v>
      </c>
      <c r="H19">
        <v>61354.9617130884</v>
      </c>
      <c r="I19" t="s">
        <v>9</v>
      </c>
      <c r="J19" t="s">
        <v>9</v>
      </c>
      <c r="L19">
        <v>172</v>
      </c>
      <c r="M19">
        <f>G19*-1</f>
        <v>-5.6512523095821399</v>
      </c>
      <c r="N19">
        <v>69</v>
      </c>
      <c r="O19" t="s">
        <v>26</v>
      </c>
      <c r="P19" s="11" t="s">
        <v>26</v>
      </c>
      <c r="Q19" s="5" t="s">
        <v>26</v>
      </c>
      <c r="R19" t="s">
        <v>258</v>
      </c>
      <c r="S19" t="s">
        <v>386</v>
      </c>
      <c r="T19" t="s">
        <v>386</v>
      </c>
      <c r="U19" t="s">
        <v>260</v>
      </c>
      <c r="V19" s="4" t="s">
        <v>386</v>
      </c>
      <c r="W19">
        <v>8694</v>
      </c>
      <c r="X19" s="6" t="s">
        <v>262</v>
      </c>
      <c r="Y19" t="s">
        <v>387</v>
      </c>
    </row>
    <row r="20" spans="1:25" x14ac:dyDescent="0.2">
      <c r="A20">
        <v>20</v>
      </c>
      <c r="B20" t="s">
        <v>27</v>
      </c>
      <c r="C20">
        <v>532.69652904197005</v>
      </c>
      <c r="D20">
        <v>169.088115760373</v>
      </c>
      <c r="E20">
        <v>543.72224066478805</v>
      </c>
      <c r="F20">
        <v>485.23866336389801</v>
      </c>
      <c r="G20">
        <v>2.06979227791249</v>
      </c>
      <c r="H20">
        <v>186.97384271025001</v>
      </c>
      <c r="I20" s="1">
        <v>1.0844488692858599E-7</v>
      </c>
      <c r="J20" t="s">
        <v>9</v>
      </c>
      <c r="L20">
        <v>140</v>
      </c>
      <c r="M20">
        <f>G20*-1</f>
        <v>-2.06979227791249</v>
      </c>
      <c r="N20">
        <v>101</v>
      </c>
      <c r="O20" t="s">
        <v>27</v>
      </c>
      <c r="P20" s="12" t="s">
        <v>717</v>
      </c>
      <c r="Q20" s="9" t="s">
        <v>717</v>
      </c>
      <c r="R20" s="8" t="s">
        <v>361</v>
      </c>
      <c r="S20" s="8" t="s">
        <v>718</v>
      </c>
      <c r="T20" s="8" t="s">
        <v>718</v>
      </c>
      <c r="U20" s="8" t="s">
        <v>364</v>
      </c>
      <c r="V20" s="10" t="s">
        <v>718</v>
      </c>
      <c r="W20" s="8">
        <v>7298</v>
      </c>
      <c r="X20" s="8" t="s">
        <v>262</v>
      </c>
      <c r="Y20" s="8" t="s">
        <v>719</v>
      </c>
    </row>
    <row r="21" spans="1:25" x14ac:dyDescent="0.2">
      <c r="A21">
        <v>21</v>
      </c>
      <c r="B21" t="s">
        <v>28</v>
      </c>
      <c r="C21">
        <v>920.282708023905</v>
      </c>
      <c r="D21">
        <v>0.752290627377313</v>
      </c>
      <c r="E21">
        <v>1011.640218836</v>
      </c>
      <c r="F21">
        <v>394.72045181879298</v>
      </c>
      <c r="G21">
        <v>9.9271137027301002</v>
      </c>
      <c r="H21">
        <v>52369.143899199502</v>
      </c>
      <c r="I21" t="s">
        <v>9</v>
      </c>
      <c r="J21" t="s">
        <v>9</v>
      </c>
      <c r="L21">
        <v>212</v>
      </c>
      <c r="M21">
        <f>G21*-1</f>
        <v>-9.9271137027301002</v>
      </c>
      <c r="N21">
        <v>29</v>
      </c>
      <c r="O21" t="s">
        <v>28</v>
      </c>
      <c r="P21" s="11" t="s">
        <v>500</v>
      </c>
      <c r="Q21" s="5" t="s">
        <v>500</v>
      </c>
      <c r="R21" t="s">
        <v>494</v>
      </c>
      <c r="S21" t="s">
        <v>501</v>
      </c>
      <c r="T21" t="s">
        <v>501</v>
      </c>
      <c r="U21" t="s">
        <v>260</v>
      </c>
      <c r="V21" s="4" t="s">
        <v>502</v>
      </c>
      <c r="W21">
        <v>3418</v>
      </c>
      <c r="X21" s="6" t="s">
        <v>262</v>
      </c>
      <c r="Y21" t="s">
        <v>503</v>
      </c>
    </row>
    <row r="22" spans="1:25" x14ac:dyDescent="0.2">
      <c r="A22">
        <v>22</v>
      </c>
      <c r="B22" t="s">
        <v>29</v>
      </c>
      <c r="C22">
        <v>794.153288591467</v>
      </c>
      <c r="D22">
        <v>58.009025626929301</v>
      </c>
      <c r="E22">
        <v>837.327976137836</v>
      </c>
      <c r="F22">
        <v>347.12591501054197</v>
      </c>
      <c r="G22">
        <v>5.4365685021522001</v>
      </c>
      <c r="H22">
        <v>498.39983736840702</v>
      </c>
      <c r="I22" s="1">
        <v>2.5237742865092099E-6</v>
      </c>
      <c r="J22" s="1">
        <v>2.09678845530713E-6</v>
      </c>
      <c r="L22">
        <v>171</v>
      </c>
      <c r="M22">
        <f>G22*-1</f>
        <v>-5.4365685021522001</v>
      </c>
      <c r="N22">
        <v>70</v>
      </c>
      <c r="O22" t="s">
        <v>29</v>
      </c>
      <c r="P22" t="s">
        <v>25</v>
      </c>
      <c r="Q22" s="5" t="s">
        <v>477</v>
      </c>
      <c r="R22" t="s">
        <v>414</v>
      </c>
      <c r="S22" t="s">
        <v>478</v>
      </c>
      <c r="T22" t="s">
        <v>478</v>
      </c>
      <c r="U22" t="s">
        <v>260</v>
      </c>
      <c r="V22" s="4" t="s">
        <v>479</v>
      </c>
      <c r="W22">
        <v>3098</v>
      </c>
      <c r="X22" s="6" t="s">
        <v>262</v>
      </c>
      <c r="Y22" t="s">
        <v>480</v>
      </c>
    </row>
    <row r="23" spans="1:25" x14ac:dyDescent="0.2">
      <c r="A23">
        <v>23</v>
      </c>
      <c r="B23" t="s">
        <v>30</v>
      </c>
      <c r="C23">
        <v>700.00640570281701</v>
      </c>
      <c r="D23">
        <v>0.51980473771532898</v>
      </c>
      <c r="E23">
        <v>736.66100889288498</v>
      </c>
      <c r="F23">
        <v>357.40492654399998</v>
      </c>
      <c r="G23">
        <v>5.2363239666736998</v>
      </c>
      <c r="H23">
        <v>68657.535399712506</v>
      </c>
      <c r="I23" t="s">
        <v>9</v>
      </c>
      <c r="J23" t="s">
        <v>9</v>
      </c>
      <c r="L23">
        <v>166</v>
      </c>
      <c r="M23">
        <f>G23*-1</f>
        <v>-5.2363239666736998</v>
      </c>
      <c r="N23">
        <v>75</v>
      </c>
      <c r="O23" t="s">
        <v>30</v>
      </c>
      <c r="P23" s="11" t="s">
        <v>312</v>
      </c>
      <c r="Q23" s="5" t="s">
        <v>312</v>
      </c>
      <c r="R23" t="s">
        <v>308</v>
      </c>
      <c r="S23" t="s">
        <v>313</v>
      </c>
      <c r="T23" t="s">
        <v>313</v>
      </c>
      <c r="U23" t="s">
        <v>260</v>
      </c>
      <c r="V23" s="4" t="s">
        <v>314</v>
      </c>
      <c r="W23">
        <v>596</v>
      </c>
      <c r="X23" s="6" t="s">
        <v>262</v>
      </c>
      <c r="Y23" t="s">
        <v>315</v>
      </c>
    </row>
    <row r="24" spans="1:25" x14ac:dyDescent="0.2">
      <c r="A24">
        <v>24</v>
      </c>
      <c r="B24" t="s">
        <v>31</v>
      </c>
      <c r="C24">
        <v>928.247935882403</v>
      </c>
      <c r="D24">
        <v>1.1136075041000799</v>
      </c>
      <c r="E24">
        <v>991.49062600045499</v>
      </c>
      <c r="F24">
        <v>402.74240588224501</v>
      </c>
      <c r="G24">
        <v>6.8131247776956601</v>
      </c>
      <c r="H24">
        <v>36065.561420826401</v>
      </c>
      <c r="I24" t="s">
        <v>9</v>
      </c>
      <c r="J24" t="s">
        <v>9</v>
      </c>
      <c r="L24">
        <v>179</v>
      </c>
      <c r="M24">
        <f>G24*-1</f>
        <v>-6.8131247776956601</v>
      </c>
      <c r="N24">
        <v>62</v>
      </c>
      <c r="O24" t="s">
        <v>31</v>
      </c>
      <c r="P24" s="11" t="s">
        <v>425</v>
      </c>
      <c r="Q24" s="5" t="s">
        <v>425</v>
      </c>
      <c r="R24" t="s">
        <v>414</v>
      </c>
      <c r="S24" t="s">
        <v>426</v>
      </c>
      <c r="T24" t="s">
        <v>426</v>
      </c>
      <c r="U24" t="s">
        <v>260</v>
      </c>
      <c r="V24" s="4" t="s">
        <v>426</v>
      </c>
      <c r="W24">
        <v>2539</v>
      </c>
      <c r="X24" s="6" t="s">
        <v>262</v>
      </c>
      <c r="Y24" t="s">
        <v>427</v>
      </c>
    </row>
    <row r="25" spans="1:25" ht="16" customHeight="1" x14ac:dyDescent="0.2">
      <c r="A25">
        <v>25</v>
      </c>
      <c r="B25" t="s">
        <v>32</v>
      </c>
      <c r="C25">
        <v>914.18046154857097</v>
      </c>
      <c r="D25">
        <v>0.886331195389922</v>
      </c>
      <c r="E25">
        <v>995.891934746174</v>
      </c>
      <c r="F25">
        <v>402.60766887709099</v>
      </c>
      <c r="G25">
        <v>8.9382213506497799</v>
      </c>
      <c r="H25">
        <v>45324.0661923191</v>
      </c>
      <c r="I25" t="s">
        <v>9</v>
      </c>
      <c r="J25" t="s">
        <v>9</v>
      </c>
      <c r="L25">
        <v>205</v>
      </c>
      <c r="M25">
        <f>G25*-1</f>
        <v>-8.9382213506497799</v>
      </c>
      <c r="N25">
        <v>36</v>
      </c>
      <c r="O25" t="s">
        <v>32</v>
      </c>
      <c r="P25" s="11" t="s">
        <v>32</v>
      </c>
      <c r="Q25" s="5" t="s">
        <v>32</v>
      </c>
      <c r="R25" t="s">
        <v>293</v>
      </c>
      <c r="S25" t="s">
        <v>294</v>
      </c>
      <c r="T25" t="s">
        <v>294</v>
      </c>
      <c r="U25" t="s">
        <v>260</v>
      </c>
      <c r="V25" s="4" t="s">
        <v>295</v>
      </c>
      <c r="W25">
        <v>5562</v>
      </c>
      <c r="X25" s="6" t="s">
        <v>262</v>
      </c>
      <c r="Y25" t="s">
        <v>296</v>
      </c>
    </row>
    <row r="26" spans="1:25" x14ac:dyDescent="0.2">
      <c r="A26">
        <v>26</v>
      </c>
      <c r="B26" t="s">
        <v>33</v>
      </c>
      <c r="C26">
        <v>911.34428861699598</v>
      </c>
      <c r="D26">
        <v>1.62219998685157</v>
      </c>
      <c r="E26">
        <v>963.91002247573397</v>
      </c>
      <c r="F26">
        <v>472.27168156727203</v>
      </c>
      <c r="G26">
        <v>5.7679336465155497</v>
      </c>
      <c r="H26">
        <v>29013.036949524001</v>
      </c>
      <c r="I26" t="s">
        <v>9</v>
      </c>
      <c r="J26" t="s">
        <v>9</v>
      </c>
      <c r="L26">
        <v>173</v>
      </c>
      <c r="M26">
        <f>G26*-1</f>
        <v>-5.7679336465155497</v>
      </c>
      <c r="N26">
        <v>68</v>
      </c>
      <c r="O26" t="s">
        <v>33</v>
      </c>
      <c r="P26" s="11" t="s">
        <v>645</v>
      </c>
      <c r="Q26" s="5" t="s">
        <v>645</v>
      </c>
      <c r="R26" t="s">
        <v>361</v>
      </c>
      <c r="S26" t="s">
        <v>506</v>
      </c>
      <c r="T26" t="s">
        <v>506</v>
      </c>
      <c r="U26" t="s">
        <v>260</v>
      </c>
      <c r="V26" s="4" t="s">
        <v>646</v>
      </c>
      <c r="W26">
        <v>7498</v>
      </c>
      <c r="X26" s="6" t="s">
        <v>262</v>
      </c>
      <c r="Y26" t="s">
        <v>647</v>
      </c>
    </row>
    <row r="27" spans="1:25" x14ac:dyDescent="0.2">
      <c r="A27">
        <v>27</v>
      </c>
      <c r="B27" t="s">
        <v>34</v>
      </c>
      <c r="C27">
        <v>932.83754437217101</v>
      </c>
      <c r="D27">
        <v>1.47124059058101</v>
      </c>
      <c r="E27">
        <v>999.65678921034396</v>
      </c>
      <c r="F27">
        <v>408.79015459582399</v>
      </c>
      <c r="G27">
        <v>7.1630098125118096</v>
      </c>
      <c r="H27">
        <v>27685.4048625988</v>
      </c>
      <c r="I27" t="s">
        <v>9</v>
      </c>
      <c r="J27" t="s">
        <v>9</v>
      </c>
      <c r="L27">
        <v>183</v>
      </c>
      <c r="M27">
        <f>G27*-1</f>
        <v>-7.1630098125118096</v>
      </c>
      <c r="N27">
        <v>58</v>
      </c>
      <c r="O27" t="s">
        <v>34</v>
      </c>
      <c r="P27" s="11" t="s">
        <v>34</v>
      </c>
      <c r="Q27" s="5" t="s">
        <v>34</v>
      </c>
      <c r="R27" t="s">
        <v>258</v>
      </c>
      <c r="S27" t="s">
        <v>264</v>
      </c>
      <c r="T27" t="s">
        <v>264</v>
      </c>
      <c r="U27" t="s">
        <v>260</v>
      </c>
      <c r="V27" s="4" t="s">
        <v>265</v>
      </c>
      <c r="W27">
        <v>6646</v>
      </c>
      <c r="X27" s="6" t="s">
        <v>262</v>
      </c>
      <c r="Y27" t="s">
        <v>266</v>
      </c>
    </row>
    <row r="28" spans="1:25" ht="16" customHeight="1" x14ac:dyDescent="0.2">
      <c r="A28">
        <v>28</v>
      </c>
      <c r="B28" t="s">
        <v>35</v>
      </c>
      <c r="C28">
        <v>905.61181559162105</v>
      </c>
      <c r="D28">
        <v>1.3640666440125699</v>
      </c>
      <c r="E28">
        <v>939.21112140183698</v>
      </c>
      <c r="F28">
        <v>469.10015434617799</v>
      </c>
      <c r="G28">
        <v>3.7101222876897202</v>
      </c>
      <c r="H28">
        <v>34289.826655848803</v>
      </c>
      <c r="I28" t="s">
        <v>9</v>
      </c>
      <c r="J28" t="s">
        <v>9</v>
      </c>
      <c r="L28">
        <v>156</v>
      </c>
      <c r="M28">
        <f>G28*-1</f>
        <v>-3.7101222876897202</v>
      </c>
      <c r="N28">
        <v>85</v>
      </c>
      <c r="O28" t="s">
        <v>35</v>
      </c>
      <c r="P28" s="11" t="s">
        <v>35</v>
      </c>
      <c r="Q28" s="5" t="s">
        <v>35</v>
      </c>
      <c r="R28" t="s">
        <v>368</v>
      </c>
      <c r="S28" t="s">
        <v>377</v>
      </c>
      <c r="T28" t="s">
        <v>377</v>
      </c>
      <c r="U28" t="s">
        <v>260</v>
      </c>
      <c r="V28" s="4" t="s">
        <v>377</v>
      </c>
      <c r="W28">
        <v>1559</v>
      </c>
      <c r="X28" s="6" t="s">
        <v>262</v>
      </c>
      <c r="Y28" t="s">
        <v>378</v>
      </c>
    </row>
    <row r="29" spans="1:25" x14ac:dyDescent="0.2">
      <c r="A29">
        <v>29</v>
      </c>
      <c r="B29" t="s">
        <v>36</v>
      </c>
      <c r="C29">
        <v>920.81526267727304</v>
      </c>
      <c r="D29">
        <v>1.6089420255117699</v>
      </c>
      <c r="E29">
        <v>947.39652583968802</v>
      </c>
      <c r="F29">
        <v>467.45000610853901</v>
      </c>
      <c r="G29">
        <v>2.88670966260162</v>
      </c>
      <c r="H29">
        <v>28953.2535477686</v>
      </c>
      <c r="I29" t="s">
        <v>9</v>
      </c>
      <c r="J29" t="s">
        <v>9</v>
      </c>
      <c r="L29">
        <v>150</v>
      </c>
      <c r="M29">
        <f>G29*-1</f>
        <v>-2.88670966260162</v>
      </c>
      <c r="N29">
        <v>91</v>
      </c>
      <c r="O29" t="s">
        <v>36</v>
      </c>
      <c r="P29" s="11" t="s">
        <v>36</v>
      </c>
      <c r="Q29" s="5" t="s">
        <v>36</v>
      </c>
      <c r="R29" t="s">
        <v>303</v>
      </c>
      <c r="S29" t="s">
        <v>729</v>
      </c>
      <c r="T29" t="s">
        <v>729</v>
      </c>
      <c r="U29" t="s">
        <v>260</v>
      </c>
      <c r="X29" s="6" t="s">
        <v>262</v>
      </c>
    </row>
    <row r="30" spans="1:25" x14ac:dyDescent="0.2">
      <c r="A30">
        <v>30</v>
      </c>
      <c r="B30" t="s">
        <v>37</v>
      </c>
      <c r="C30">
        <v>915.684691940211</v>
      </c>
      <c r="D30">
        <v>1.8066809256557801</v>
      </c>
      <c r="E30">
        <v>964.63787808857103</v>
      </c>
      <c r="F30">
        <v>470.41585544842502</v>
      </c>
      <c r="G30">
        <v>5.3460745362723197</v>
      </c>
      <c r="H30">
        <v>25937.572477147602</v>
      </c>
      <c r="I30" t="s">
        <v>9</v>
      </c>
      <c r="J30" t="s">
        <v>9</v>
      </c>
      <c r="L30">
        <v>170</v>
      </c>
      <c r="M30">
        <f>G30*-1</f>
        <v>-5.3460745362723197</v>
      </c>
      <c r="N30">
        <v>71</v>
      </c>
      <c r="O30" t="s">
        <v>37</v>
      </c>
      <c r="P30" s="11" t="s">
        <v>37</v>
      </c>
      <c r="Q30" s="5" t="s">
        <v>37</v>
      </c>
      <c r="R30" t="s">
        <v>276</v>
      </c>
      <c r="S30" t="s">
        <v>280</v>
      </c>
      <c r="T30" t="s">
        <v>280</v>
      </c>
      <c r="U30" t="s">
        <v>260</v>
      </c>
      <c r="V30" s="4" t="s">
        <v>280</v>
      </c>
      <c r="W30">
        <v>231</v>
      </c>
      <c r="X30" s="6" t="s">
        <v>262</v>
      </c>
      <c r="Y30" t="s">
        <v>281</v>
      </c>
    </row>
    <row r="31" spans="1:25" x14ac:dyDescent="0.2">
      <c r="A31">
        <v>31</v>
      </c>
      <c r="B31" t="s">
        <v>38</v>
      </c>
      <c r="C31">
        <v>906.47790586813403</v>
      </c>
      <c r="D31">
        <v>5.9756771769563599</v>
      </c>
      <c r="E31">
        <v>919.47040843142599</v>
      </c>
      <c r="F31">
        <v>416.972030382475</v>
      </c>
      <c r="G31">
        <v>1.4332950068814501</v>
      </c>
      <c r="H31">
        <v>6877.8205554747701</v>
      </c>
      <c r="I31" s="1">
        <v>1.08904306344112E-5</v>
      </c>
      <c r="J31" s="1">
        <v>7.7191595862889808E-6</v>
      </c>
      <c r="L31">
        <v>138</v>
      </c>
      <c r="M31">
        <f>G31*-1</f>
        <v>-1.4332950068814501</v>
      </c>
      <c r="N31">
        <v>103</v>
      </c>
      <c r="O31" t="s">
        <v>38</v>
      </c>
      <c r="P31" s="11" t="s">
        <v>38</v>
      </c>
      <c r="Q31" s="5" t="s">
        <v>38</v>
      </c>
      <c r="R31" t="s">
        <v>303</v>
      </c>
      <c r="S31" t="s">
        <v>438</v>
      </c>
      <c r="T31" t="s">
        <v>438</v>
      </c>
      <c r="U31" t="s">
        <v>260</v>
      </c>
      <c r="V31" s="4" t="s">
        <v>439</v>
      </c>
      <c r="W31">
        <v>2678</v>
      </c>
      <c r="X31" s="6" t="s">
        <v>262</v>
      </c>
      <c r="Y31" t="s">
        <v>440</v>
      </c>
    </row>
    <row r="32" spans="1:25" x14ac:dyDescent="0.2">
      <c r="A32">
        <v>32</v>
      </c>
      <c r="B32" t="s">
        <v>39</v>
      </c>
      <c r="C32">
        <v>916.26447231719499</v>
      </c>
      <c r="D32">
        <v>1.8236413553400099</v>
      </c>
      <c r="E32">
        <v>1030.17156138062</v>
      </c>
      <c r="F32">
        <v>359.05111904216898</v>
      </c>
      <c r="G32">
        <v>12.4316823913689</v>
      </c>
      <c r="H32">
        <v>19588.691419000301</v>
      </c>
      <c r="I32" t="s">
        <v>9</v>
      </c>
      <c r="J32" t="s">
        <v>9</v>
      </c>
      <c r="L32">
        <v>233</v>
      </c>
      <c r="M32">
        <f>G32*-1</f>
        <v>-12.4316823913689</v>
      </c>
      <c r="N32">
        <v>8</v>
      </c>
      <c r="O32" t="s">
        <v>39</v>
      </c>
      <c r="P32" s="11" t="s">
        <v>549</v>
      </c>
      <c r="Q32" s="5" t="s">
        <v>549</v>
      </c>
      <c r="R32" t="s">
        <v>518</v>
      </c>
      <c r="S32" t="s">
        <v>550</v>
      </c>
      <c r="T32" t="s">
        <v>550</v>
      </c>
      <c r="U32" t="s">
        <v>260</v>
      </c>
      <c r="V32" s="4" t="s">
        <v>547</v>
      </c>
      <c r="W32">
        <v>6566</v>
      </c>
      <c r="X32" s="6" t="s">
        <v>262</v>
      </c>
      <c r="Y32" t="s">
        <v>548</v>
      </c>
    </row>
    <row r="33" spans="1:25" x14ac:dyDescent="0.2">
      <c r="A33">
        <v>33</v>
      </c>
      <c r="B33" t="s">
        <v>40</v>
      </c>
      <c r="C33">
        <v>714.70512082959397</v>
      </c>
      <c r="D33">
        <v>280.29829658189999</v>
      </c>
      <c r="E33">
        <v>626.16814401312502</v>
      </c>
      <c r="F33">
        <v>596.05166926881395</v>
      </c>
      <c r="G33">
        <v>-12.3879029597129</v>
      </c>
      <c r="H33">
        <v>112.649051577327</v>
      </c>
      <c r="I33" s="1">
        <v>8.5475487734755695E-7</v>
      </c>
      <c r="J33" s="1">
        <v>3.2606374191816102E-7</v>
      </c>
      <c r="L33">
        <v>111</v>
      </c>
      <c r="M33">
        <f>G33*-1</f>
        <v>12.3879029597129</v>
      </c>
      <c r="N33">
        <v>130</v>
      </c>
      <c r="O33" t="s">
        <v>40</v>
      </c>
      <c r="P33" s="12" t="s">
        <v>393</v>
      </c>
      <c r="Q33" s="9" t="s">
        <v>393</v>
      </c>
      <c r="R33" s="8" t="s">
        <v>361</v>
      </c>
      <c r="S33" s="8" t="s">
        <v>391</v>
      </c>
      <c r="T33" s="8" t="s">
        <v>391</v>
      </c>
      <c r="U33" s="8" t="s">
        <v>364</v>
      </c>
      <c r="V33" s="10" t="s">
        <v>391</v>
      </c>
      <c r="W33" s="8">
        <v>1723</v>
      </c>
      <c r="X33" s="8" t="s">
        <v>262</v>
      </c>
      <c r="Y33" s="8" t="s">
        <v>392</v>
      </c>
    </row>
    <row r="34" spans="1:25" x14ac:dyDescent="0.2">
      <c r="A34">
        <v>34</v>
      </c>
      <c r="B34" t="s">
        <v>41</v>
      </c>
      <c r="C34">
        <v>906.69269575602095</v>
      </c>
      <c r="D34">
        <v>1.8948705300277</v>
      </c>
      <c r="E34">
        <v>947.58994751497505</v>
      </c>
      <c r="F34">
        <v>485.81669135538698</v>
      </c>
      <c r="G34">
        <v>4.5105968042296301</v>
      </c>
      <c r="H34">
        <v>25538.5163870951</v>
      </c>
      <c r="I34" t="s">
        <v>9</v>
      </c>
      <c r="J34" t="s">
        <v>9</v>
      </c>
      <c r="L34">
        <v>162</v>
      </c>
      <c r="M34">
        <f>G34*-1</f>
        <v>-4.5105968042296301</v>
      </c>
      <c r="N34">
        <v>79</v>
      </c>
      <c r="O34" t="s">
        <v>41</v>
      </c>
      <c r="P34" s="11" t="s">
        <v>730</v>
      </c>
      <c r="Q34" s="5" t="s">
        <v>730</v>
      </c>
      <c r="R34" t="s">
        <v>303</v>
      </c>
      <c r="S34" t="s">
        <v>729</v>
      </c>
      <c r="T34" t="s">
        <v>729</v>
      </c>
      <c r="U34" t="s">
        <v>260</v>
      </c>
      <c r="X34" s="6" t="s">
        <v>262</v>
      </c>
    </row>
    <row r="35" spans="1:25" x14ac:dyDescent="0.2">
      <c r="A35">
        <v>35</v>
      </c>
      <c r="B35" t="s">
        <v>42</v>
      </c>
      <c r="C35">
        <v>778.90399292839004</v>
      </c>
      <c r="D35">
        <v>1.1792378948155799</v>
      </c>
      <c r="E35">
        <v>836.89947638820104</v>
      </c>
      <c r="F35">
        <v>420.69188539274802</v>
      </c>
      <c r="G35">
        <v>7.4457807363100503</v>
      </c>
      <c r="H35">
        <v>35574.895391530903</v>
      </c>
      <c r="I35" s="1">
        <v>2.0480332015679502E-6</v>
      </c>
      <c r="J35" s="1">
        <v>2.13601344658785E-6</v>
      </c>
      <c r="L35">
        <v>189</v>
      </c>
      <c r="M35">
        <f>G35*-1</f>
        <v>-7.4457807363100503</v>
      </c>
      <c r="N35">
        <v>52</v>
      </c>
      <c r="O35" t="s">
        <v>42</v>
      </c>
      <c r="P35" s="11" t="s">
        <v>578</v>
      </c>
      <c r="Q35" s="5" t="s">
        <v>578</v>
      </c>
      <c r="R35" t="s">
        <v>303</v>
      </c>
      <c r="S35" t="s">
        <v>576</v>
      </c>
      <c r="T35" t="s">
        <v>576</v>
      </c>
      <c r="U35" t="s">
        <v>260</v>
      </c>
      <c r="V35" s="4" t="s">
        <v>576</v>
      </c>
      <c r="W35">
        <v>1728</v>
      </c>
      <c r="X35" s="6" t="s">
        <v>262</v>
      </c>
      <c r="Y35" t="s">
        <v>577</v>
      </c>
    </row>
    <row r="36" spans="1:25" x14ac:dyDescent="0.2">
      <c r="A36">
        <v>36</v>
      </c>
      <c r="B36" t="s">
        <v>43</v>
      </c>
      <c r="C36">
        <v>936.43918869024901</v>
      </c>
      <c r="D36">
        <v>2.2966083173353602</v>
      </c>
      <c r="E36">
        <v>965.680308704087</v>
      </c>
      <c r="F36">
        <v>389.58690468278002</v>
      </c>
      <c r="G36">
        <v>3.12258610777879</v>
      </c>
      <c r="H36">
        <v>16863.576320005599</v>
      </c>
      <c r="I36" t="s">
        <v>9</v>
      </c>
      <c r="J36" t="s">
        <v>9</v>
      </c>
      <c r="L36">
        <v>152</v>
      </c>
      <c r="M36">
        <f>G36*-1</f>
        <v>-3.12258610777879</v>
      </c>
      <c r="N36">
        <v>89</v>
      </c>
      <c r="O36" t="s">
        <v>43</v>
      </c>
      <c r="P36" s="11" t="s">
        <v>43</v>
      </c>
      <c r="Q36" s="5" t="s">
        <v>43</v>
      </c>
      <c r="R36" t="s">
        <v>303</v>
      </c>
      <c r="S36" t="s">
        <v>729</v>
      </c>
      <c r="T36" t="s">
        <v>729</v>
      </c>
      <c r="U36" t="s">
        <v>260</v>
      </c>
      <c r="X36" s="6" t="s">
        <v>262</v>
      </c>
    </row>
    <row r="37" spans="1:25" x14ac:dyDescent="0.2">
      <c r="A37">
        <v>37</v>
      </c>
      <c r="B37" t="s">
        <v>44</v>
      </c>
      <c r="C37">
        <v>911.40129946885997</v>
      </c>
      <c r="D37">
        <v>1.48311687381809</v>
      </c>
      <c r="E37">
        <v>924.23267363409104</v>
      </c>
      <c r="F37">
        <v>487.95770099901</v>
      </c>
      <c r="G37">
        <v>1.40787314794358</v>
      </c>
      <c r="H37">
        <v>32800.8259303819</v>
      </c>
      <c r="I37" t="s">
        <v>9</v>
      </c>
      <c r="J37" t="s">
        <v>9</v>
      </c>
      <c r="L37">
        <v>137</v>
      </c>
      <c r="M37">
        <f>G37*-1</f>
        <v>-1.40787314794358</v>
      </c>
      <c r="N37">
        <v>104</v>
      </c>
      <c r="O37" t="s">
        <v>44</v>
      </c>
      <c r="P37" s="11" t="s">
        <v>481</v>
      </c>
      <c r="Q37" s="5" t="s">
        <v>481</v>
      </c>
      <c r="R37" t="s">
        <v>414</v>
      </c>
      <c r="S37" t="s">
        <v>478</v>
      </c>
      <c r="T37" t="s">
        <v>478</v>
      </c>
      <c r="U37" t="s">
        <v>260</v>
      </c>
      <c r="V37" s="4" t="s">
        <v>479</v>
      </c>
      <c r="W37">
        <v>3098</v>
      </c>
      <c r="X37" s="6" t="s">
        <v>262</v>
      </c>
      <c r="Y37" t="s">
        <v>480</v>
      </c>
    </row>
    <row r="38" spans="1:25" x14ac:dyDescent="0.2">
      <c r="A38">
        <v>38</v>
      </c>
      <c r="B38" t="s">
        <v>45</v>
      </c>
      <c r="C38">
        <v>917.50930842990101</v>
      </c>
      <c r="D38">
        <v>1.5432400271916</v>
      </c>
      <c r="E38">
        <v>961.56191019894504</v>
      </c>
      <c r="F38">
        <v>451.983483055514</v>
      </c>
      <c r="G38">
        <v>4.8013247783207804</v>
      </c>
      <c r="H38">
        <v>29187.957485008701</v>
      </c>
      <c r="I38" t="s">
        <v>9</v>
      </c>
      <c r="J38" t="s">
        <v>9</v>
      </c>
      <c r="L38">
        <v>164</v>
      </c>
      <c r="M38">
        <f>G38*-1</f>
        <v>-4.8013247783207804</v>
      </c>
      <c r="N38">
        <v>77</v>
      </c>
      <c r="O38" t="s">
        <v>45</v>
      </c>
      <c r="P38" s="11" t="s">
        <v>45</v>
      </c>
      <c r="Q38" s="5" t="s">
        <v>45</v>
      </c>
      <c r="R38" t="s">
        <v>289</v>
      </c>
      <c r="S38" t="s">
        <v>708</v>
      </c>
      <c r="T38" t="s">
        <v>708</v>
      </c>
      <c r="U38" t="s">
        <v>260</v>
      </c>
      <c r="V38" s="4" t="s">
        <v>709</v>
      </c>
      <c r="W38">
        <v>18</v>
      </c>
      <c r="X38" s="6" t="s">
        <v>262</v>
      </c>
      <c r="Y38" t="s">
        <v>710</v>
      </c>
    </row>
    <row r="39" spans="1:25" x14ac:dyDescent="0.2">
      <c r="A39">
        <v>39</v>
      </c>
      <c r="B39" t="s">
        <v>46</v>
      </c>
      <c r="C39">
        <v>932.63167016957595</v>
      </c>
      <c r="D39">
        <v>1.8322779892034899</v>
      </c>
      <c r="E39">
        <v>875.79378557754706</v>
      </c>
      <c r="F39">
        <v>571.81275259420704</v>
      </c>
      <c r="G39">
        <v>-6.0943549752813597</v>
      </c>
      <c r="H39">
        <v>31107.751005227099</v>
      </c>
      <c r="I39" t="s">
        <v>9</v>
      </c>
      <c r="J39" t="s">
        <v>9</v>
      </c>
      <c r="L39">
        <v>122</v>
      </c>
      <c r="M39">
        <f>G39*-1</f>
        <v>6.0943549752813597</v>
      </c>
      <c r="N39">
        <v>119</v>
      </c>
      <c r="O39" t="s">
        <v>46</v>
      </c>
      <c r="P39" s="11" t="s">
        <v>731</v>
      </c>
      <c r="Q39" s="5" t="s">
        <v>731</v>
      </c>
      <c r="R39" t="s">
        <v>308</v>
      </c>
      <c r="S39" t="s">
        <v>729</v>
      </c>
      <c r="T39" t="s">
        <v>729</v>
      </c>
      <c r="U39" t="s">
        <v>260</v>
      </c>
      <c r="X39" s="6" t="s">
        <v>262</v>
      </c>
    </row>
    <row r="40" spans="1:25" x14ac:dyDescent="0.2">
      <c r="A40">
        <v>40</v>
      </c>
      <c r="B40" t="s">
        <v>47</v>
      </c>
      <c r="C40">
        <v>803.88561421285397</v>
      </c>
      <c r="D40">
        <v>15.1088116683521</v>
      </c>
      <c r="E40">
        <v>825.50963571992202</v>
      </c>
      <c r="F40">
        <v>307.76384138371799</v>
      </c>
      <c r="G40">
        <v>2.6899376136046298</v>
      </c>
      <c r="H40">
        <v>1936.9824453393601</v>
      </c>
      <c r="I40" s="1">
        <v>2.46787526850982E-6</v>
      </c>
      <c r="J40" s="1">
        <v>2.0954081776475599E-6</v>
      </c>
      <c r="L40">
        <v>147</v>
      </c>
      <c r="M40">
        <f>G40*-1</f>
        <v>-2.6899376136046298</v>
      </c>
      <c r="N40">
        <v>94</v>
      </c>
      <c r="O40" t="s">
        <v>47</v>
      </c>
      <c r="P40" s="11" t="s">
        <v>47</v>
      </c>
      <c r="Q40" s="5" t="s">
        <v>47</v>
      </c>
      <c r="R40" t="s">
        <v>303</v>
      </c>
      <c r="S40" t="s">
        <v>467</v>
      </c>
      <c r="T40" t="s">
        <v>467</v>
      </c>
      <c r="U40" t="s">
        <v>260</v>
      </c>
      <c r="V40" s="4" t="s">
        <v>382</v>
      </c>
      <c r="X40" s="6" t="s">
        <v>262</v>
      </c>
    </row>
    <row r="41" spans="1:25" x14ac:dyDescent="0.2">
      <c r="A41">
        <v>41</v>
      </c>
      <c r="B41" t="s">
        <v>48</v>
      </c>
      <c r="C41">
        <v>913.35313036029004</v>
      </c>
      <c r="D41">
        <v>1.31005369472263</v>
      </c>
      <c r="E41">
        <v>936.94461237903499</v>
      </c>
      <c r="F41">
        <v>457.64895037781798</v>
      </c>
      <c r="G41">
        <v>2.5829529931582198</v>
      </c>
      <c r="H41">
        <v>34833.602509682903</v>
      </c>
      <c r="I41" t="s">
        <v>9</v>
      </c>
      <c r="J41" t="s">
        <v>9</v>
      </c>
      <c r="L41">
        <v>145</v>
      </c>
      <c r="M41">
        <f>G41*-1</f>
        <v>-2.5829529931582198</v>
      </c>
      <c r="N41">
        <v>96</v>
      </c>
      <c r="O41" t="s">
        <v>48</v>
      </c>
      <c r="P41" s="11" t="s">
        <v>694</v>
      </c>
      <c r="Q41" s="5" t="s">
        <v>694</v>
      </c>
      <c r="R41" t="s">
        <v>258</v>
      </c>
      <c r="S41" t="s">
        <v>695</v>
      </c>
      <c r="T41" t="s">
        <v>695</v>
      </c>
      <c r="U41" t="s">
        <v>260</v>
      </c>
      <c r="V41" s="4" t="s">
        <v>695</v>
      </c>
      <c r="W41">
        <v>6713</v>
      </c>
      <c r="X41" s="6" t="s">
        <v>262</v>
      </c>
      <c r="Y41" t="s">
        <v>696</v>
      </c>
    </row>
    <row r="42" spans="1:25" x14ac:dyDescent="0.2">
      <c r="A42">
        <v>42</v>
      </c>
      <c r="B42" t="s">
        <v>49</v>
      </c>
      <c r="C42">
        <v>918.03141835195004</v>
      </c>
      <c r="D42">
        <v>2.7186947206503498</v>
      </c>
      <c r="E42">
        <v>924.49219391371798</v>
      </c>
      <c r="F42">
        <v>473.744344256327</v>
      </c>
      <c r="G42">
        <v>0.70376410138189405</v>
      </c>
      <c r="H42">
        <v>17325.433633938901</v>
      </c>
      <c r="I42" t="s">
        <v>9</v>
      </c>
      <c r="J42" s="1">
        <v>1.2560282170989401E-5</v>
      </c>
      <c r="L42">
        <v>130</v>
      </c>
      <c r="M42">
        <f>G42*-1</f>
        <v>-0.70376410138189405</v>
      </c>
      <c r="N42">
        <v>111</v>
      </c>
      <c r="O42" t="s">
        <v>49</v>
      </c>
      <c r="P42" s="11" t="s">
        <v>49</v>
      </c>
      <c r="Q42" s="5" t="s">
        <v>49</v>
      </c>
      <c r="R42" t="s">
        <v>276</v>
      </c>
      <c r="S42" t="s">
        <v>373</v>
      </c>
      <c r="T42" t="s">
        <v>373</v>
      </c>
      <c r="U42" t="s">
        <v>260</v>
      </c>
      <c r="V42" s="4" t="s">
        <v>373</v>
      </c>
      <c r="W42">
        <v>1588</v>
      </c>
      <c r="X42" s="6" t="s">
        <v>262</v>
      </c>
      <c r="Y42" t="s">
        <v>374</v>
      </c>
    </row>
    <row r="43" spans="1:25" x14ac:dyDescent="0.2">
      <c r="A43">
        <v>43</v>
      </c>
      <c r="B43" t="s">
        <v>50</v>
      </c>
      <c r="C43">
        <v>917.38155609120599</v>
      </c>
      <c r="D43">
        <v>1.18874462954459</v>
      </c>
      <c r="E43">
        <v>987.38816741161395</v>
      </c>
      <c r="F43">
        <v>432.63311791450201</v>
      </c>
      <c r="G43">
        <v>7.6311335077078297</v>
      </c>
      <c r="H43">
        <v>36294.117555782002</v>
      </c>
      <c r="I43" t="s">
        <v>9</v>
      </c>
      <c r="J43" t="s">
        <v>9</v>
      </c>
      <c r="L43">
        <v>190</v>
      </c>
      <c r="M43">
        <f>G43*-1</f>
        <v>-7.6311335077078297</v>
      </c>
      <c r="N43">
        <v>51</v>
      </c>
      <c r="O43" t="s">
        <v>50</v>
      </c>
      <c r="P43" s="11" t="s">
        <v>50</v>
      </c>
      <c r="Q43" s="5" t="s">
        <v>50</v>
      </c>
      <c r="R43" t="s">
        <v>434</v>
      </c>
      <c r="S43" t="s">
        <v>441</v>
      </c>
      <c r="T43" t="s">
        <v>441</v>
      </c>
      <c r="U43" t="s">
        <v>260</v>
      </c>
      <c r="V43" s="4" t="s">
        <v>441</v>
      </c>
      <c r="W43">
        <v>2744</v>
      </c>
      <c r="X43" s="6" t="s">
        <v>262</v>
      </c>
      <c r="Y43" t="s">
        <v>442</v>
      </c>
    </row>
    <row r="44" spans="1:25" x14ac:dyDescent="0.2">
      <c r="A44">
        <v>44</v>
      </c>
      <c r="B44" t="s">
        <v>51</v>
      </c>
      <c r="C44">
        <v>909.31425124078203</v>
      </c>
      <c r="D44">
        <v>1.1726576015251799</v>
      </c>
      <c r="E44">
        <v>906.48091897113704</v>
      </c>
      <c r="F44">
        <v>480.69975795800502</v>
      </c>
      <c r="G44">
        <v>-0.311589999362615</v>
      </c>
      <c r="H44">
        <v>40892.337177774403</v>
      </c>
      <c r="I44" t="s">
        <v>9</v>
      </c>
      <c r="J44" t="s">
        <v>9</v>
      </c>
      <c r="L44">
        <v>127</v>
      </c>
      <c r="M44">
        <f>G44*-1</f>
        <v>0.311589999362615</v>
      </c>
      <c r="N44">
        <v>114</v>
      </c>
      <c r="O44" t="s">
        <v>51</v>
      </c>
      <c r="P44" s="11" t="s">
        <v>51</v>
      </c>
      <c r="Q44" s="5" t="s">
        <v>51</v>
      </c>
      <c r="R44" t="s">
        <v>299</v>
      </c>
      <c r="S44" t="s">
        <v>351</v>
      </c>
      <c r="T44" t="s">
        <v>351</v>
      </c>
      <c r="U44" t="s">
        <v>260</v>
      </c>
      <c r="V44" s="4" t="s">
        <v>352</v>
      </c>
      <c r="W44">
        <v>4512</v>
      </c>
      <c r="X44" s="6" t="s">
        <v>262</v>
      </c>
      <c r="Y44" t="s">
        <v>353</v>
      </c>
    </row>
    <row r="45" spans="1:25" x14ac:dyDescent="0.2">
      <c r="A45">
        <v>45</v>
      </c>
      <c r="B45" t="s">
        <v>52</v>
      </c>
      <c r="C45">
        <v>908.06590127672496</v>
      </c>
      <c r="D45">
        <v>1.1617129613585799</v>
      </c>
      <c r="E45">
        <v>918.632713151134</v>
      </c>
      <c r="F45">
        <v>464.34324956317897</v>
      </c>
      <c r="G45">
        <v>1.1636613443532</v>
      </c>
      <c r="H45">
        <v>39870.566310988601</v>
      </c>
      <c r="I45" t="s">
        <v>9</v>
      </c>
      <c r="J45" t="s">
        <v>9</v>
      </c>
      <c r="L45">
        <v>134</v>
      </c>
      <c r="M45">
        <f>G45*-1</f>
        <v>-1.1636613443532</v>
      </c>
      <c r="N45">
        <v>107</v>
      </c>
      <c r="O45" t="s">
        <v>52</v>
      </c>
      <c r="P45" s="11" t="s">
        <v>421</v>
      </c>
      <c r="Q45" s="5" t="s">
        <v>421</v>
      </c>
      <c r="R45" t="s">
        <v>258</v>
      </c>
      <c r="S45" t="s">
        <v>422</v>
      </c>
      <c r="T45" t="s">
        <v>422</v>
      </c>
      <c r="U45" t="s">
        <v>260</v>
      </c>
      <c r="V45" s="4" t="s">
        <v>422</v>
      </c>
      <c r="W45">
        <v>355</v>
      </c>
      <c r="X45" s="6" t="s">
        <v>262</v>
      </c>
      <c r="Y45" t="s">
        <v>423</v>
      </c>
    </row>
    <row r="46" spans="1:25" x14ac:dyDescent="0.2">
      <c r="A46">
        <v>46</v>
      </c>
      <c r="B46" t="s">
        <v>53</v>
      </c>
      <c r="C46">
        <v>1135.3893980103801</v>
      </c>
      <c r="D46">
        <v>4.1112009483135301</v>
      </c>
      <c r="E46">
        <v>418.548744731971</v>
      </c>
      <c r="F46">
        <v>388.45200858312597</v>
      </c>
      <c r="G46">
        <v>-63.136105950485302</v>
      </c>
      <c r="H46">
        <v>9348.6261670686308</v>
      </c>
      <c r="I46" t="s">
        <v>9</v>
      </c>
      <c r="J46" s="1">
        <v>1.29204262155116E-8</v>
      </c>
      <c r="L46">
        <v>1</v>
      </c>
      <c r="M46">
        <f>G46*-1</f>
        <v>63.136105950485302</v>
      </c>
      <c r="N46">
        <v>240</v>
      </c>
      <c r="O46" t="s">
        <v>53</v>
      </c>
      <c r="P46" s="11" t="s">
        <v>338</v>
      </c>
      <c r="Q46" s="5" t="s">
        <v>338</v>
      </c>
      <c r="R46" t="s">
        <v>308</v>
      </c>
      <c r="S46" t="s">
        <v>339</v>
      </c>
      <c r="T46" t="s">
        <v>339</v>
      </c>
      <c r="U46" t="s">
        <v>260</v>
      </c>
      <c r="V46" s="4" t="s">
        <v>340</v>
      </c>
      <c r="W46">
        <v>7384</v>
      </c>
      <c r="X46" s="6" t="s">
        <v>262</v>
      </c>
      <c r="Y46" t="s">
        <v>341</v>
      </c>
    </row>
    <row r="47" spans="1:25" x14ac:dyDescent="0.2">
      <c r="A47">
        <v>47</v>
      </c>
      <c r="B47" t="s">
        <v>54</v>
      </c>
      <c r="C47">
        <v>905.85491856702697</v>
      </c>
      <c r="D47">
        <v>1.73024525814012</v>
      </c>
      <c r="E47">
        <v>940.37765620155199</v>
      </c>
      <c r="F47">
        <v>468.01130236807199</v>
      </c>
      <c r="G47">
        <v>3.81106697407309</v>
      </c>
      <c r="H47">
        <v>26948.841785074401</v>
      </c>
      <c r="I47" t="s">
        <v>9</v>
      </c>
      <c r="J47" t="s">
        <v>9</v>
      </c>
      <c r="L47">
        <v>159</v>
      </c>
      <c r="M47">
        <f>G47*-1</f>
        <v>-3.81106697407309</v>
      </c>
      <c r="N47">
        <v>82</v>
      </c>
      <c r="O47" t="s">
        <v>54</v>
      </c>
      <c r="P47" t="s">
        <v>54</v>
      </c>
      <c r="Q47" s="5" t="s">
        <v>418</v>
      </c>
      <c r="R47" t="s">
        <v>258</v>
      </c>
      <c r="S47" t="s">
        <v>419</v>
      </c>
      <c r="T47" t="s">
        <v>419</v>
      </c>
      <c r="U47" t="s">
        <v>260</v>
      </c>
      <c r="V47" s="4" t="s">
        <v>419</v>
      </c>
      <c r="W47">
        <v>2167</v>
      </c>
      <c r="X47" s="6" t="s">
        <v>262</v>
      </c>
      <c r="Y47" t="s">
        <v>420</v>
      </c>
    </row>
    <row r="48" spans="1:25" x14ac:dyDescent="0.2">
      <c r="A48">
        <v>48</v>
      </c>
      <c r="B48" t="s">
        <v>55</v>
      </c>
      <c r="C48">
        <v>883.42220041219105</v>
      </c>
      <c r="D48">
        <v>11.7564067698942</v>
      </c>
      <c r="E48">
        <v>890.63125072809396</v>
      </c>
      <c r="F48">
        <v>458.41470666323301</v>
      </c>
      <c r="G48">
        <v>0.81603680692409597</v>
      </c>
      <c r="H48">
        <v>3799.2756514442799</v>
      </c>
      <c r="I48" s="1">
        <v>7.4021232090231101E-6</v>
      </c>
      <c r="J48" s="1">
        <v>6.6036545681181597E-6</v>
      </c>
      <c r="L48">
        <v>131</v>
      </c>
      <c r="M48">
        <f>G48*-1</f>
        <v>-0.81603680692409597</v>
      </c>
      <c r="N48">
        <v>110</v>
      </c>
      <c r="O48" t="s">
        <v>55</v>
      </c>
      <c r="P48" s="11" t="s">
        <v>55</v>
      </c>
      <c r="Q48" s="5" t="s">
        <v>55</v>
      </c>
      <c r="R48" t="s">
        <v>303</v>
      </c>
      <c r="S48" t="s">
        <v>714</v>
      </c>
      <c r="T48" t="s">
        <v>714</v>
      </c>
      <c r="U48" t="s">
        <v>260</v>
      </c>
      <c r="V48" s="4" t="s">
        <v>715</v>
      </c>
      <c r="W48">
        <v>7296</v>
      </c>
      <c r="X48" s="6" t="s">
        <v>262</v>
      </c>
      <c r="Y48" t="s">
        <v>716</v>
      </c>
    </row>
    <row r="49" spans="1:25" x14ac:dyDescent="0.2">
      <c r="A49">
        <v>49</v>
      </c>
      <c r="B49" t="s">
        <v>56</v>
      </c>
      <c r="C49">
        <v>919.36377551453597</v>
      </c>
      <c r="D49">
        <v>1.32709538066601</v>
      </c>
      <c r="E49">
        <v>930.57911838132998</v>
      </c>
      <c r="F49">
        <v>450.01330877088702</v>
      </c>
      <c r="G49">
        <v>1.2199026289149899</v>
      </c>
      <c r="H49">
        <v>33809.643219844897</v>
      </c>
      <c r="I49" t="s">
        <v>9</v>
      </c>
      <c r="J49" t="s">
        <v>9</v>
      </c>
      <c r="L49">
        <v>135</v>
      </c>
      <c r="M49">
        <f>G49*-1</f>
        <v>-1.2199026289149899</v>
      </c>
      <c r="N49">
        <v>106</v>
      </c>
      <c r="O49" t="s">
        <v>56</v>
      </c>
      <c r="P49" s="11" t="s">
        <v>56</v>
      </c>
      <c r="Q49" s="5" t="s">
        <v>56</v>
      </c>
      <c r="R49" t="s">
        <v>518</v>
      </c>
      <c r="S49" t="s">
        <v>670</v>
      </c>
      <c r="T49" t="s">
        <v>670</v>
      </c>
      <c r="U49" t="s">
        <v>260</v>
      </c>
      <c r="V49" s="4" t="s">
        <v>671</v>
      </c>
      <c r="W49">
        <v>6523</v>
      </c>
      <c r="X49" s="6" t="s">
        <v>262</v>
      </c>
      <c r="Y49" t="s">
        <v>672</v>
      </c>
    </row>
    <row r="50" spans="1:25" x14ac:dyDescent="0.2">
      <c r="A50">
        <v>50</v>
      </c>
      <c r="B50" t="s">
        <v>57</v>
      </c>
      <c r="C50">
        <v>926.83390457622397</v>
      </c>
      <c r="D50">
        <v>0.68048270135984301</v>
      </c>
      <c r="E50">
        <v>1033.0768086467399</v>
      </c>
      <c r="F50">
        <v>325.12374296800999</v>
      </c>
      <c r="G50">
        <v>11.4629928346329</v>
      </c>
      <c r="H50">
        <v>47678.3994094632</v>
      </c>
      <c r="I50" t="s">
        <v>9</v>
      </c>
      <c r="J50" t="s">
        <v>9</v>
      </c>
      <c r="L50">
        <v>224</v>
      </c>
      <c r="M50">
        <f>G50*-1</f>
        <v>-11.4629928346329</v>
      </c>
      <c r="N50">
        <v>17</v>
      </c>
      <c r="O50" t="s">
        <v>57</v>
      </c>
      <c r="P50" s="11" t="s">
        <v>57</v>
      </c>
      <c r="Q50" s="5" t="s">
        <v>57</v>
      </c>
      <c r="R50" t="s">
        <v>445</v>
      </c>
      <c r="S50" t="s">
        <v>446</v>
      </c>
      <c r="T50" t="s">
        <v>446</v>
      </c>
      <c r="U50" t="s">
        <v>260</v>
      </c>
      <c r="V50" s="4" t="s">
        <v>447</v>
      </c>
      <c r="W50">
        <v>8972</v>
      </c>
      <c r="X50" s="6" t="s">
        <v>262</v>
      </c>
      <c r="Y50" t="s">
        <v>448</v>
      </c>
    </row>
    <row r="51" spans="1:25" x14ac:dyDescent="0.2">
      <c r="A51">
        <v>51</v>
      </c>
      <c r="B51" t="s">
        <v>58</v>
      </c>
      <c r="C51">
        <v>416.83748479186698</v>
      </c>
      <c r="D51">
        <v>397.81474080078499</v>
      </c>
      <c r="E51">
        <v>436.981817797904</v>
      </c>
      <c r="F51">
        <v>584.52929863285499</v>
      </c>
      <c r="G51">
        <v>4.8326587077684398</v>
      </c>
      <c r="H51">
        <v>46.935052596648703</v>
      </c>
      <c r="I51" s="1">
        <v>4.0680577194196497E-8</v>
      </c>
      <c r="J51" s="1">
        <v>4.0499703049024103E-8</v>
      </c>
      <c r="L51">
        <v>165</v>
      </c>
      <c r="M51">
        <f>G51*-1</f>
        <v>-4.8326587077684398</v>
      </c>
      <c r="N51">
        <v>76</v>
      </c>
      <c r="O51" t="s">
        <v>58</v>
      </c>
      <c r="P51" s="12" t="s">
        <v>360</v>
      </c>
      <c r="Q51" s="9" t="s">
        <v>360</v>
      </c>
      <c r="R51" s="8" t="s">
        <v>361</v>
      </c>
      <c r="S51" s="8" t="s">
        <v>362</v>
      </c>
      <c r="T51" s="8" t="s">
        <v>363</v>
      </c>
      <c r="U51" s="8" t="s">
        <v>364</v>
      </c>
      <c r="V51" s="10" t="s">
        <v>365</v>
      </c>
      <c r="W51" s="8">
        <v>1503</v>
      </c>
      <c r="X51" s="6" t="s">
        <v>262</v>
      </c>
      <c r="Y51" s="8" t="s">
        <v>366</v>
      </c>
    </row>
    <row r="52" spans="1:25" x14ac:dyDescent="0.2">
      <c r="A52">
        <v>52</v>
      </c>
      <c r="B52" t="s">
        <v>59</v>
      </c>
      <c r="C52">
        <v>922.11174454508796</v>
      </c>
      <c r="D52">
        <v>0.72510519470706103</v>
      </c>
      <c r="E52">
        <v>1020.40388919179</v>
      </c>
      <c r="F52">
        <v>318.62102178302899</v>
      </c>
      <c r="G52">
        <v>10.659461310211499</v>
      </c>
      <c r="H52">
        <v>43841.351421672101</v>
      </c>
      <c r="I52" t="s">
        <v>9</v>
      </c>
      <c r="J52" t="s">
        <v>9</v>
      </c>
      <c r="L52">
        <v>221</v>
      </c>
      <c r="M52">
        <f>G52*-1</f>
        <v>-10.659461310211499</v>
      </c>
      <c r="N52">
        <v>20</v>
      </c>
      <c r="O52" t="s">
        <v>59</v>
      </c>
      <c r="P52" s="11" t="s">
        <v>59</v>
      </c>
      <c r="Q52" s="5" t="s">
        <v>59</v>
      </c>
      <c r="R52" t="s">
        <v>518</v>
      </c>
      <c r="S52" t="s">
        <v>550</v>
      </c>
      <c r="T52" t="s">
        <v>550</v>
      </c>
      <c r="U52" t="s">
        <v>260</v>
      </c>
      <c r="V52" s="4" t="s">
        <v>547</v>
      </c>
      <c r="W52">
        <v>6566</v>
      </c>
      <c r="X52" s="6" t="s">
        <v>262</v>
      </c>
      <c r="Y52" t="s">
        <v>548</v>
      </c>
    </row>
    <row r="53" spans="1:25" x14ac:dyDescent="0.2">
      <c r="A53">
        <v>53</v>
      </c>
      <c r="B53" t="s">
        <v>60</v>
      </c>
      <c r="C53">
        <v>777.79892441650895</v>
      </c>
      <c r="D53">
        <v>14.0884469033372</v>
      </c>
      <c r="E53">
        <v>829.95062370976302</v>
      </c>
      <c r="F53">
        <v>104.156396711086</v>
      </c>
      <c r="G53">
        <v>6.70503618044697</v>
      </c>
      <c r="H53">
        <v>639.30361114832294</v>
      </c>
      <c r="I53" s="1">
        <v>1.07300301342362E-6</v>
      </c>
      <c r="J53" s="1">
        <v>1.0669566035649701E-6</v>
      </c>
      <c r="L53">
        <v>177</v>
      </c>
      <c r="M53">
        <f>G53*-1</f>
        <v>-6.70503618044697</v>
      </c>
      <c r="N53">
        <v>64</v>
      </c>
      <c r="O53" t="s">
        <v>60</v>
      </c>
      <c r="P53" s="11" t="s">
        <v>566</v>
      </c>
      <c r="Q53" s="5" t="s">
        <v>566</v>
      </c>
      <c r="R53" t="s">
        <v>303</v>
      </c>
      <c r="S53" t="s">
        <v>567</v>
      </c>
      <c r="T53" t="s">
        <v>567</v>
      </c>
      <c r="U53" t="s">
        <v>260</v>
      </c>
      <c r="X53" s="6" t="s">
        <v>262</v>
      </c>
    </row>
    <row r="54" spans="1:25" x14ac:dyDescent="0.2">
      <c r="A54">
        <v>54</v>
      </c>
      <c r="B54" t="s">
        <v>61</v>
      </c>
      <c r="C54">
        <v>925.12024881611205</v>
      </c>
      <c r="D54">
        <v>0.68991568401567704</v>
      </c>
      <c r="E54">
        <v>1011.88513392245</v>
      </c>
      <c r="F54">
        <v>263.47543545940698</v>
      </c>
      <c r="G54">
        <v>9.3787683511820195</v>
      </c>
      <c r="H54">
        <v>38089.512365603798</v>
      </c>
      <c r="I54" t="s">
        <v>9</v>
      </c>
      <c r="J54" t="s">
        <v>9</v>
      </c>
      <c r="L54">
        <v>210</v>
      </c>
      <c r="M54">
        <f>G54*-1</f>
        <v>-9.3787683511820195</v>
      </c>
      <c r="N54">
        <v>31</v>
      </c>
      <c r="O54" t="s">
        <v>61</v>
      </c>
      <c r="P54" s="11" t="s">
        <v>61</v>
      </c>
      <c r="Q54" s="5" t="s">
        <v>61</v>
      </c>
      <c r="R54" t="s">
        <v>308</v>
      </c>
      <c r="S54" t="s">
        <v>724</v>
      </c>
      <c r="T54" t="s">
        <v>724</v>
      </c>
      <c r="U54" t="s">
        <v>260</v>
      </c>
      <c r="V54" s="4" t="s">
        <v>725</v>
      </c>
      <c r="W54">
        <v>7350</v>
      </c>
      <c r="X54" s="6" t="s">
        <v>262</v>
      </c>
      <c r="Y54" t="s">
        <v>726</v>
      </c>
    </row>
    <row r="55" spans="1:25" x14ac:dyDescent="0.2">
      <c r="A55">
        <v>55</v>
      </c>
      <c r="B55" t="s">
        <v>62</v>
      </c>
      <c r="C55">
        <v>910.00725223177699</v>
      </c>
      <c r="D55">
        <v>0.63818030344180199</v>
      </c>
      <c r="E55">
        <v>1020.76483509431</v>
      </c>
      <c r="F55">
        <v>316.22581452881002</v>
      </c>
      <c r="G55">
        <v>12.171065954793299</v>
      </c>
      <c r="H55">
        <v>49451.171169551402</v>
      </c>
      <c r="I55" t="s">
        <v>9</v>
      </c>
      <c r="J55" t="s">
        <v>9</v>
      </c>
      <c r="L55">
        <v>230</v>
      </c>
      <c r="M55">
        <f>G55*-1</f>
        <v>-12.171065954793299</v>
      </c>
      <c r="N55">
        <v>11</v>
      </c>
      <c r="O55" t="s">
        <v>62</v>
      </c>
      <c r="P55" s="11" t="s">
        <v>62</v>
      </c>
      <c r="Q55" s="5" t="s">
        <v>62</v>
      </c>
      <c r="R55" t="s">
        <v>518</v>
      </c>
      <c r="S55" t="s">
        <v>674</v>
      </c>
      <c r="T55" t="s">
        <v>674</v>
      </c>
      <c r="U55" t="s">
        <v>260</v>
      </c>
      <c r="V55" s="4" t="s">
        <v>675</v>
      </c>
      <c r="W55">
        <v>6524</v>
      </c>
      <c r="X55" s="6" t="s">
        <v>262</v>
      </c>
      <c r="Y55" t="s">
        <v>676</v>
      </c>
    </row>
    <row r="56" spans="1:25" x14ac:dyDescent="0.2">
      <c r="A56">
        <v>56</v>
      </c>
      <c r="B56" t="s">
        <v>63</v>
      </c>
      <c r="C56">
        <v>919.00129480295902</v>
      </c>
      <c r="D56">
        <v>0.55796910263445798</v>
      </c>
      <c r="E56">
        <v>1013.55915134553</v>
      </c>
      <c r="F56">
        <v>304.903901365129</v>
      </c>
      <c r="G56">
        <v>10.2891973142263</v>
      </c>
      <c r="H56">
        <v>54545.302029363498</v>
      </c>
      <c r="I56" t="s">
        <v>9</v>
      </c>
      <c r="J56" t="s">
        <v>9</v>
      </c>
      <c r="L56">
        <v>217</v>
      </c>
      <c r="M56">
        <f>G56*-1</f>
        <v>-10.2891973142263</v>
      </c>
      <c r="N56">
        <v>24</v>
      </c>
      <c r="O56" t="s">
        <v>63</v>
      </c>
      <c r="P56" s="11" t="s">
        <v>63</v>
      </c>
      <c r="Q56" s="5" t="s">
        <v>63</v>
      </c>
      <c r="R56" t="s">
        <v>308</v>
      </c>
      <c r="S56" t="s">
        <v>644</v>
      </c>
      <c r="T56" t="s">
        <v>644</v>
      </c>
      <c r="U56" t="s">
        <v>260</v>
      </c>
      <c r="X56" s="6" t="s">
        <v>262</v>
      </c>
    </row>
    <row r="57" spans="1:25" x14ac:dyDescent="0.2">
      <c r="A57">
        <v>57</v>
      </c>
      <c r="B57" t="s">
        <v>64</v>
      </c>
      <c r="C57">
        <v>919.18002241932504</v>
      </c>
      <c r="D57">
        <v>0.50811524762042903</v>
      </c>
      <c r="E57">
        <v>1011.95908982547</v>
      </c>
      <c r="F57">
        <v>354.733333319172</v>
      </c>
      <c r="G57">
        <v>10.0936775324975</v>
      </c>
      <c r="H57">
        <v>69713.558042281802</v>
      </c>
      <c r="I57" t="s">
        <v>9</v>
      </c>
      <c r="J57" t="s">
        <v>9</v>
      </c>
      <c r="L57">
        <v>214</v>
      </c>
      <c r="M57">
        <f>G57*-1</f>
        <v>-10.0936775324975</v>
      </c>
      <c r="N57">
        <v>27</v>
      </c>
      <c r="O57" t="s">
        <v>64</v>
      </c>
      <c r="P57" s="11" t="s">
        <v>64</v>
      </c>
      <c r="Q57" s="5" t="s">
        <v>64</v>
      </c>
      <c r="R57" t="s">
        <v>299</v>
      </c>
      <c r="S57" t="s">
        <v>606</v>
      </c>
      <c r="T57" t="s">
        <v>606</v>
      </c>
      <c r="U57" t="s">
        <v>260</v>
      </c>
      <c r="V57" s="4" t="s">
        <v>607</v>
      </c>
      <c r="W57">
        <v>8654</v>
      </c>
      <c r="X57" s="6" t="s">
        <v>262</v>
      </c>
      <c r="Y57" t="s">
        <v>608</v>
      </c>
    </row>
    <row r="58" spans="1:25" x14ac:dyDescent="0.2">
      <c r="A58">
        <v>58</v>
      </c>
      <c r="B58" t="s">
        <v>65</v>
      </c>
      <c r="C58">
        <v>701.04365548433304</v>
      </c>
      <c r="D58">
        <v>12.6594072940252</v>
      </c>
      <c r="E58">
        <v>782.29580044533805</v>
      </c>
      <c r="F58">
        <v>309.733398777768</v>
      </c>
      <c r="G58">
        <v>11.5901690751156</v>
      </c>
      <c r="H58">
        <v>2346.6658792465901</v>
      </c>
      <c r="I58" s="1">
        <v>7.2599843783217002E-7</v>
      </c>
      <c r="J58" s="1">
        <v>8.4682805309098002E-7</v>
      </c>
      <c r="L58">
        <v>225</v>
      </c>
      <c r="M58">
        <f>G58*-1</f>
        <v>-11.5901690751156</v>
      </c>
      <c r="N58">
        <v>16</v>
      </c>
      <c r="O58" t="s">
        <v>65</v>
      </c>
      <c r="P58" s="11" t="s">
        <v>652</v>
      </c>
      <c r="Q58" s="5" t="s">
        <v>652</v>
      </c>
      <c r="R58" t="s">
        <v>299</v>
      </c>
      <c r="S58" t="s">
        <v>653</v>
      </c>
      <c r="T58" t="s">
        <v>653</v>
      </c>
      <c r="U58" t="s">
        <v>260</v>
      </c>
      <c r="V58" s="4" t="s">
        <v>654</v>
      </c>
      <c r="W58">
        <v>5914</v>
      </c>
      <c r="X58" s="6" t="s">
        <v>262</v>
      </c>
      <c r="Y58" t="s">
        <v>655</v>
      </c>
    </row>
    <row r="59" spans="1:25" x14ac:dyDescent="0.2">
      <c r="A59">
        <v>59</v>
      </c>
      <c r="B59" t="s">
        <v>66</v>
      </c>
      <c r="C59">
        <v>907.749150152722</v>
      </c>
      <c r="D59">
        <v>0.53900644260640995</v>
      </c>
      <c r="E59">
        <v>1019.06873148276</v>
      </c>
      <c r="F59">
        <v>316.34668315856902</v>
      </c>
      <c r="G59">
        <v>12.263253709607699</v>
      </c>
      <c r="H59">
        <v>58590.705370579402</v>
      </c>
      <c r="I59" t="s">
        <v>9</v>
      </c>
      <c r="J59" t="s">
        <v>9</v>
      </c>
      <c r="L59">
        <v>232</v>
      </c>
      <c r="M59">
        <f>G59*-1</f>
        <v>-12.263253709607699</v>
      </c>
      <c r="N59">
        <v>9</v>
      </c>
      <c r="O59" t="s">
        <v>66</v>
      </c>
      <c r="P59" s="11" t="s">
        <v>66</v>
      </c>
      <c r="Q59" s="5" t="s">
        <v>66</v>
      </c>
      <c r="R59" t="s">
        <v>308</v>
      </c>
      <c r="S59" t="s">
        <v>616</v>
      </c>
      <c r="T59" t="s">
        <v>616</v>
      </c>
      <c r="U59" t="s">
        <v>260</v>
      </c>
      <c r="V59" s="4" t="s">
        <v>617</v>
      </c>
      <c r="W59">
        <v>5163</v>
      </c>
      <c r="X59" s="6" t="s">
        <v>262</v>
      </c>
      <c r="Y59" t="s">
        <v>618</v>
      </c>
    </row>
    <row r="60" spans="1:25" x14ac:dyDescent="0.2">
      <c r="A60">
        <v>60</v>
      </c>
      <c r="B60" t="s">
        <v>67</v>
      </c>
      <c r="C60">
        <v>924.189180733988</v>
      </c>
      <c r="D60">
        <v>0.55722182019849897</v>
      </c>
      <c r="E60">
        <v>1007.81242624945</v>
      </c>
      <c r="F60">
        <v>323.29917003357099</v>
      </c>
      <c r="G60">
        <v>9.0482822412014503</v>
      </c>
      <c r="H60">
        <v>57919.833092394401</v>
      </c>
      <c r="I60" t="s">
        <v>9</v>
      </c>
      <c r="J60" t="s">
        <v>9</v>
      </c>
      <c r="L60">
        <v>206</v>
      </c>
      <c r="M60">
        <f>G60*-1</f>
        <v>-9.0482822412014503</v>
      </c>
      <c r="N60">
        <v>35</v>
      </c>
      <c r="O60" t="s">
        <v>67</v>
      </c>
      <c r="P60" s="11" t="s">
        <v>732</v>
      </c>
      <c r="Q60" s="5" t="s">
        <v>732</v>
      </c>
      <c r="R60" t="s">
        <v>518</v>
      </c>
      <c r="S60" t="s">
        <v>729</v>
      </c>
      <c r="T60" t="s">
        <v>729</v>
      </c>
      <c r="U60" t="s">
        <v>260</v>
      </c>
      <c r="X60" s="6" t="s">
        <v>262</v>
      </c>
    </row>
    <row r="61" spans="1:25" x14ac:dyDescent="0.2">
      <c r="A61">
        <v>61</v>
      </c>
      <c r="B61" t="s">
        <v>68</v>
      </c>
      <c r="C61">
        <v>937.466758996772</v>
      </c>
      <c r="D61">
        <v>0.90245684050195496</v>
      </c>
      <c r="E61">
        <v>1009.56791581504</v>
      </c>
      <c r="F61">
        <v>330.27727245250799</v>
      </c>
      <c r="G61">
        <v>7.6910627631670101</v>
      </c>
      <c r="H61">
        <v>36497.569837113202</v>
      </c>
      <c r="I61" t="s">
        <v>9</v>
      </c>
      <c r="J61" t="s">
        <v>9</v>
      </c>
      <c r="L61">
        <v>192</v>
      </c>
      <c r="M61">
        <f>G61*-1</f>
        <v>-7.6910627631670101</v>
      </c>
      <c r="N61">
        <v>49</v>
      </c>
      <c r="O61" t="s">
        <v>68</v>
      </c>
      <c r="P61" s="11" t="s">
        <v>68</v>
      </c>
      <c r="Q61" s="5" t="s">
        <v>68</v>
      </c>
      <c r="R61" t="s">
        <v>258</v>
      </c>
      <c r="S61" t="s">
        <v>282</v>
      </c>
      <c r="T61" t="s">
        <v>282</v>
      </c>
      <c r="U61" t="s">
        <v>260</v>
      </c>
      <c r="V61" s="4" t="s">
        <v>283</v>
      </c>
      <c r="W61">
        <v>216</v>
      </c>
      <c r="X61" s="6" t="s">
        <v>262</v>
      </c>
      <c r="Y61" t="s">
        <v>284</v>
      </c>
    </row>
    <row r="62" spans="1:25" x14ac:dyDescent="0.2">
      <c r="A62">
        <v>62</v>
      </c>
      <c r="B62" t="s">
        <v>69</v>
      </c>
      <c r="C62">
        <v>931.80772992011202</v>
      </c>
      <c r="D62">
        <v>0.69645763451459297</v>
      </c>
      <c r="E62">
        <v>1025.28458673203</v>
      </c>
      <c r="F62">
        <v>314.08916909144398</v>
      </c>
      <c r="G62">
        <v>10.0317752053781</v>
      </c>
      <c r="H62">
        <v>44998.101237752002</v>
      </c>
      <c r="I62" t="s">
        <v>9</v>
      </c>
      <c r="J62" t="s">
        <v>9</v>
      </c>
      <c r="L62">
        <v>213</v>
      </c>
      <c r="M62">
        <f>G62*-1</f>
        <v>-10.0317752053781</v>
      </c>
      <c r="N62">
        <v>28</v>
      </c>
      <c r="O62" t="s">
        <v>69</v>
      </c>
      <c r="P62" s="11" t="s">
        <v>69</v>
      </c>
      <c r="Q62" s="5" t="s">
        <v>69</v>
      </c>
      <c r="R62" t="s">
        <v>299</v>
      </c>
      <c r="S62" t="s">
        <v>354</v>
      </c>
      <c r="T62" t="s">
        <v>354</v>
      </c>
      <c r="U62" t="s">
        <v>260</v>
      </c>
      <c r="V62" s="4" t="s">
        <v>354</v>
      </c>
      <c r="W62">
        <v>4513</v>
      </c>
      <c r="X62" s="6" t="s">
        <v>262</v>
      </c>
      <c r="Y62" t="s">
        <v>355</v>
      </c>
    </row>
    <row r="63" spans="1:25" x14ac:dyDescent="0.2">
      <c r="A63">
        <v>63</v>
      </c>
      <c r="B63" t="s">
        <v>70</v>
      </c>
      <c r="C63">
        <v>909.35572365127496</v>
      </c>
      <c r="D63">
        <v>0.62564382599382695</v>
      </c>
      <c r="E63">
        <v>1017.03552562991</v>
      </c>
      <c r="F63">
        <v>310.37820738386699</v>
      </c>
      <c r="G63">
        <v>11.8413288857162</v>
      </c>
      <c r="H63">
        <v>49509.409457663103</v>
      </c>
      <c r="I63" t="s">
        <v>9</v>
      </c>
      <c r="J63" t="s">
        <v>9</v>
      </c>
      <c r="L63">
        <v>229</v>
      </c>
      <c r="M63">
        <f>G63*-1</f>
        <v>-11.8413288857162</v>
      </c>
      <c r="N63">
        <v>12</v>
      </c>
      <c r="O63" t="s">
        <v>70</v>
      </c>
      <c r="P63" s="11" t="s">
        <v>70</v>
      </c>
      <c r="Q63" s="5" t="s">
        <v>70</v>
      </c>
      <c r="R63" t="s">
        <v>361</v>
      </c>
      <c r="S63" t="s">
        <v>362</v>
      </c>
      <c r="T63" t="s">
        <v>362</v>
      </c>
      <c r="U63" t="s">
        <v>260</v>
      </c>
      <c r="V63" s="4" t="s">
        <v>382</v>
      </c>
      <c r="X63" s="6" t="s">
        <v>262</v>
      </c>
    </row>
    <row r="64" spans="1:25" x14ac:dyDescent="0.2">
      <c r="A64">
        <v>64</v>
      </c>
      <c r="B64" t="s">
        <v>71</v>
      </c>
      <c r="C64">
        <v>877.792378317832</v>
      </c>
      <c r="D64">
        <v>3.4934953745836901</v>
      </c>
      <c r="E64">
        <v>908.42999303030501</v>
      </c>
      <c r="F64">
        <v>413.26913210113503</v>
      </c>
      <c r="G64">
        <v>3.4903031137255498</v>
      </c>
      <c r="H64">
        <v>11729.674517613599</v>
      </c>
      <c r="I64" t="s">
        <v>9</v>
      </c>
      <c r="J64" t="s">
        <v>9</v>
      </c>
      <c r="L64">
        <v>155</v>
      </c>
      <c r="M64">
        <f>G64*-1</f>
        <v>-3.4903031137255498</v>
      </c>
      <c r="N64">
        <v>86</v>
      </c>
      <c r="O64" t="s">
        <v>71</v>
      </c>
      <c r="P64" s="11" t="s">
        <v>288</v>
      </c>
      <c r="Q64" s="5" t="s">
        <v>288</v>
      </c>
      <c r="R64" t="s">
        <v>289</v>
      </c>
      <c r="S64" t="s">
        <v>290</v>
      </c>
      <c r="T64" t="s">
        <v>290</v>
      </c>
      <c r="U64" t="s">
        <v>260</v>
      </c>
      <c r="V64" s="4" t="s">
        <v>291</v>
      </c>
      <c r="W64">
        <v>9520</v>
      </c>
      <c r="X64" s="6" t="s">
        <v>262</v>
      </c>
      <c r="Y64" t="s">
        <v>292</v>
      </c>
    </row>
    <row r="65" spans="1:25" x14ac:dyDescent="0.2">
      <c r="A65">
        <v>65</v>
      </c>
      <c r="B65" t="s">
        <v>72</v>
      </c>
      <c r="C65">
        <v>937.66841030159196</v>
      </c>
      <c r="D65">
        <v>0.48942171627785802</v>
      </c>
      <c r="E65">
        <v>1017.4464847631</v>
      </c>
      <c r="F65">
        <v>293.196266740515</v>
      </c>
      <c r="G65">
        <v>8.5081328948524906</v>
      </c>
      <c r="H65">
        <v>59806.672913970098</v>
      </c>
      <c r="I65" t="s">
        <v>9</v>
      </c>
      <c r="J65" t="s">
        <v>9</v>
      </c>
      <c r="L65">
        <v>197</v>
      </c>
      <c r="M65">
        <f>G65*-1</f>
        <v>-8.5081328948524906</v>
      </c>
      <c r="N65">
        <v>44</v>
      </c>
      <c r="O65" t="s">
        <v>72</v>
      </c>
      <c r="P65" s="11" t="s">
        <v>582</v>
      </c>
      <c r="Q65" s="5" t="s">
        <v>582</v>
      </c>
      <c r="R65" t="s">
        <v>583</v>
      </c>
      <c r="S65" t="s">
        <v>584</v>
      </c>
      <c r="T65" t="s">
        <v>584</v>
      </c>
      <c r="U65" t="s">
        <v>260</v>
      </c>
      <c r="V65" s="4" t="s">
        <v>585</v>
      </c>
      <c r="W65">
        <v>4953</v>
      </c>
      <c r="X65" s="6" t="s">
        <v>262</v>
      </c>
      <c r="Y65" t="s">
        <v>586</v>
      </c>
    </row>
    <row r="66" spans="1:25" x14ac:dyDescent="0.2">
      <c r="A66">
        <v>66</v>
      </c>
      <c r="B66" t="s">
        <v>73</v>
      </c>
      <c r="C66">
        <v>911.16799051149803</v>
      </c>
      <c r="D66">
        <v>0.88143529044758795</v>
      </c>
      <c r="E66">
        <v>1009.9191014425299</v>
      </c>
      <c r="F66">
        <v>302.87148308548097</v>
      </c>
      <c r="G66">
        <v>10.8378599730652</v>
      </c>
      <c r="H66">
        <v>34261.170509940101</v>
      </c>
      <c r="I66" t="s">
        <v>9</v>
      </c>
      <c r="J66" t="s">
        <v>9</v>
      </c>
      <c r="L66">
        <v>223</v>
      </c>
      <c r="M66">
        <f>G66*-1</f>
        <v>-10.8378599730652</v>
      </c>
      <c r="N66">
        <v>18</v>
      </c>
      <c r="O66" t="s">
        <v>73</v>
      </c>
      <c r="P66" s="11" t="s">
        <v>73</v>
      </c>
      <c r="Q66" s="5" t="s">
        <v>73</v>
      </c>
      <c r="R66" t="s">
        <v>258</v>
      </c>
      <c r="S66" t="s">
        <v>422</v>
      </c>
      <c r="T66" t="s">
        <v>422</v>
      </c>
      <c r="U66" t="s">
        <v>260</v>
      </c>
      <c r="V66" s="4" t="s">
        <v>422</v>
      </c>
      <c r="W66">
        <v>355</v>
      </c>
      <c r="X66" s="6" t="s">
        <v>262</v>
      </c>
      <c r="Y66" t="s">
        <v>423</v>
      </c>
    </row>
    <row r="67" spans="1:25" x14ac:dyDescent="0.2">
      <c r="A67">
        <v>67</v>
      </c>
      <c r="B67" t="s">
        <v>74</v>
      </c>
      <c r="C67">
        <v>900.75586608100798</v>
      </c>
      <c r="D67">
        <v>0.62523447109587105</v>
      </c>
      <c r="E67">
        <v>1005.81236183344</v>
      </c>
      <c r="F67">
        <v>331.87092278994299</v>
      </c>
      <c r="G67">
        <v>11.663148663079401</v>
      </c>
      <c r="H67">
        <v>52979.434697236102</v>
      </c>
      <c r="I67" t="s">
        <v>9</v>
      </c>
      <c r="J67" t="s">
        <v>9</v>
      </c>
      <c r="L67">
        <v>227</v>
      </c>
      <c r="M67">
        <f>G67*-1</f>
        <v>-11.663148663079401</v>
      </c>
      <c r="N67">
        <v>14</v>
      </c>
      <c r="O67" t="s">
        <v>74</v>
      </c>
      <c r="P67" s="11" t="s">
        <v>74</v>
      </c>
      <c r="Q67" s="5" t="s">
        <v>74</v>
      </c>
      <c r="R67" t="s">
        <v>317</v>
      </c>
      <c r="S67" t="s">
        <v>471</v>
      </c>
      <c r="T67" t="s">
        <v>471</v>
      </c>
      <c r="U67" t="s">
        <v>260</v>
      </c>
      <c r="V67" s="4" t="s">
        <v>471</v>
      </c>
      <c r="W67">
        <v>3091</v>
      </c>
      <c r="X67" s="6" t="s">
        <v>262</v>
      </c>
      <c r="Y67" t="s">
        <v>472</v>
      </c>
    </row>
    <row r="68" spans="1:25" x14ac:dyDescent="0.2">
      <c r="A68">
        <v>68</v>
      </c>
      <c r="B68" t="s">
        <v>75</v>
      </c>
      <c r="C68">
        <v>920.73745401466795</v>
      </c>
      <c r="D68">
        <v>0.44547040265578902</v>
      </c>
      <c r="E68">
        <v>1015.31815731319</v>
      </c>
      <c r="F68">
        <v>266.16835754728299</v>
      </c>
      <c r="G68">
        <v>10.272277171534499</v>
      </c>
      <c r="H68">
        <v>59649.953298906199</v>
      </c>
      <c r="I68" t="s">
        <v>9</v>
      </c>
      <c r="J68" t="s">
        <v>9</v>
      </c>
      <c r="L68">
        <v>216</v>
      </c>
      <c r="M68">
        <f>G68*-1</f>
        <v>-10.272277171534499</v>
      </c>
      <c r="N68">
        <v>25</v>
      </c>
      <c r="O68" t="s">
        <v>75</v>
      </c>
      <c r="P68" s="11" t="s">
        <v>285</v>
      </c>
      <c r="Q68" s="5" t="s">
        <v>285</v>
      </c>
      <c r="R68" t="s">
        <v>258</v>
      </c>
      <c r="S68" t="s">
        <v>286</v>
      </c>
      <c r="T68" t="s">
        <v>286</v>
      </c>
      <c r="U68" t="s">
        <v>260</v>
      </c>
      <c r="V68" s="4" t="s">
        <v>286</v>
      </c>
      <c r="W68">
        <v>240</v>
      </c>
      <c r="X68" s="6" t="s">
        <v>262</v>
      </c>
      <c r="Y68" t="s">
        <v>287</v>
      </c>
    </row>
    <row r="69" spans="1:25" x14ac:dyDescent="0.2">
      <c r="A69">
        <v>69</v>
      </c>
      <c r="B69" t="s">
        <v>76</v>
      </c>
      <c r="C69">
        <v>906.551085769515</v>
      </c>
      <c r="D69">
        <v>6.1138050034409197</v>
      </c>
      <c r="E69">
        <v>995.88743681670803</v>
      </c>
      <c r="F69">
        <v>268.58527142923202</v>
      </c>
      <c r="G69">
        <v>9.8545302575375704</v>
      </c>
      <c r="H69">
        <v>4293.0951556039099</v>
      </c>
      <c r="I69" s="1">
        <v>8.0711072950961793E-6</v>
      </c>
      <c r="J69" t="s">
        <v>9</v>
      </c>
      <c r="L69">
        <v>211</v>
      </c>
      <c r="M69">
        <f>G69*-1</f>
        <v>-9.8545302575375704</v>
      </c>
      <c r="N69">
        <v>30</v>
      </c>
      <c r="O69" t="s">
        <v>76</v>
      </c>
      <c r="P69" t="s">
        <v>76</v>
      </c>
      <c r="Q69" s="5" t="s">
        <v>460</v>
      </c>
      <c r="R69" t="s">
        <v>303</v>
      </c>
      <c r="S69" t="s">
        <v>461</v>
      </c>
      <c r="T69" t="s">
        <v>461</v>
      </c>
      <c r="U69" t="s">
        <v>260</v>
      </c>
      <c r="V69" s="4" t="s">
        <v>462</v>
      </c>
      <c r="W69">
        <v>2597</v>
      </c>
      <c r="X69" s="6" t="s">
        <v>262</v>
      </c>
      <c r="Y69" t="s">
        <v>463</v>
      </c>
    </row>
    <row r="70" spans="1:25" x14ac:dyDescent="0.2">
      <c r="A70">
        <v>70</v>
      </c>
      <c r="B70" t="s">
        <v>77</v>
      </c>
      <c r="C70">
        <v>902.05947563148504</v>
      </c>
      <c r="D70">
        <v>0.75276942602048702</v>
      </c>
      <c r="E70">
        <v>1008.22534967589</v>
      </c>
      <c r="F70">
        <v>304.70330229999001</v>
      </c>
      <c r="G70">
        <v>11.7692765180573</v>
      </c>
      <c r="H70">
        <v>40377.6405320821</v>
      </c>
      <c r="I70" t="s">
        <v>9</v>
      </c>
      <c r="J70" t="s">
        <v>9</v>
      </c>
      <c r="L70">
        <v>228</v>
      </c>
      <c r="M70">
        <f>G70*-1</f>
        <v>-11.7692765180573</v>
      </c>
      <c r="N70">
        <v>13</v>
      </c>
      <c r="O70" t="s">
        <v>77</v>
      </c>
      <c r="P70" s="11" t="s">
        <v>686</v>
      </c>
      <c r="Q70" s="5" t="s">
        <v>686</v>
      </c>
      <c r="R70" t="s">
        <v>518</v>
      </c>
      <c r="S70" t="s">
        <v>687</v>
      </c>
      <c r="T70" t="s">
        <v>687</v>
      </c>
      <c r="U70" t="s">
        <v>260</v>
      </c>
      <c r="X70" s="6" t="s">
        <v>262</v>
      </c>
    </row>
    <row r="71" spans="1:25" x14ac:dyDescent="0.2">
      <c r="A71">
        <v>71</v>
      </c>
      <c r="B71" t="s">
        <v>78</v>
      </c>
      <c r="C71">
        <v>892.39458961497803</v>
      </c>
      <c r="D71">
        <v>0.62818803252454303</v>
      </c>
      <c r="E71">
        <v>1001.42453728891</v>
      </c>
      <c r="F71">
        <v>307.02947022580702</v>
      </c>
      <c r="G71">
        <v>12.2176836281548</v>
      </c>
      <c r="H71">
        <v>48775.409006428497</v>
      </c>
      <c r="I71" t="s">
        <v>9</v>
      </c>
      <c r="J71" t="s">
        <v>9</v>
      </c>
      <c r="L71">
        <v>231</v>
      </c>
      <c r="M71">
        <f>G71*-1</f>
        <v>-12.2176836281548</v>
      </c>
      <c r="N71">
        <v>10</v>
      </c>
      <c r="O71" t="s">
        <v>78</v>
      </c>
      <c r="P71" s="11" t="s">
        <v>78</v>
      </c>
      <c r="Q71" s="5" t="s">
        <v>78</v>
      </c>
      <c r="R71" t="s">
        <v>303</v>
      </c>
      <c r="S71" t="s">
        <v>438</v>
      </c>
      <c r="T71" t="s">
        <v>438</v>
      </c>
      <c r="U71" t="s">
        <v>260</v>
      </c>
      <c r="V71" s="4" t="s">
        <v>439</v>
      </c>
      <c r="W71">
        <v>2678</v>
      </c>
      <c r="X71" s="6" t="s">
        <v>262</v>
      </c>
      <c r="Y71" t="s">
        <v>440</v>
      </c>
    </row>
    <row r="72" spans="1:25" x14ac:dyDescent="0.2">
      <c r="A72">
        <v>72</v>
      </c>
      <c r="B72" t="s">
        <v>79</v>
      </c>
      <c r="C72">
        <v>588.41358823999701</v>
      </c>
      <c r="D72">
        <v>232.472018823946</v>
      </c>
      <c r="E72">
        <v>603.82721580393002</v>
      </c>
      <c r="F72">
        <v>373.26061823228298</v>
      </c>
      <c r="G72">
        <v>2.6195227085147401</v>
      </c>
      <c r="H72">
        <v>60.5615248323532</v>
      </c>
      <c r="I72" s="1">
        <v>3.1260039553667598E-7</v>
      </c>
      <c r="J72" s="1">
        <v>2.5275924082711702E-7</v>
      </c>
      <c r="L72">
        <v>146</v>
      </c>
      <c r="M72">
        <f>G72*-1</f>
        <v>-2.6195227085147401</v>
      </c>
      <c r="N72">
        <v>95</v>
      </c>
      <c r="O72" t="s">
        <v>79</v>
      </c>
      <c r="P72" s="11" t="s">
        <v>79</v>
      </c>
      <c r="Q72" s="5" t="s">
        <v>79</v>
      </c>
      <c r="R72" t="s">
        <v>361</v>
      </c>
      <c r="S72" t="s">
        <v>506</v>
      </c>
      <c r="T72" t="s">
        <v>506</v>
      </c>
      <c r="U72" t="s">
        <v>260</v>
      </c>
      <c r="V72" s="4" t="s">
        <v>384</v>
      </c>
      <c r="W72">
        <v>5422</v>
      </c>
      <c r="X72" s="6" t="s">
        <v>262</v>
      </c>
      <c r="Y72" t="s">
        <v>385</v>
      </c>
    </row>
    <row r="73" spans="1:25" x14ac:dyDescent="0.2">
      <c r="A73">
        <v>73</v>
      </c>
      <c r="B73" s="5" t="s">
        <v>80</v>
      </c>
      <c r="C73">
        <v>915.49145891755097</v>
      </c>
      <c r="D73">
        <v>0.51909227455419105</v>
      </c>
      <c r="E73">
        <v>990.56245559376202</v>
      </c>
      <c r="F73">
        <v>305.60598083201501</v>
      </c>
      <c r="G73">
        <v>8.2000761388830696</v>
      </c>
      <c r="H73">
        <v>58773.151424662698</v>
      </c>
      <c r="I73" t="s">
        <v>9</v>
      </c>
      <c r="J73" t="s">
        <v>9</v>
      </c>
      <c r="L73">
        <v>195</v>
      </c>
      <c r="M73">
        <f>G73*-1</f>
        <v>-8.2000761388830696</v>
      </c>
      <c r="N73">
        <v>46</v>
      </c>
      <c r="O73" s="5" t="s">
        <v>80</v>
      </c>
      <c r="P73" s="5" t="s">
        <v>80</v>
      </c>
      <c r="Q73" s="5" t="s">
        <v>727</v>
      </c>
      <c r="R73" t="s">
        <v>308</v>
      </c>
      <c r="S73" t="s">
        <v>724</v>
      </c>
      <c r="T73" t="s">
        <v>724</v>
      </c>
      <c r="U73" t="s">
        <v>260</v>
      </c>
      <c r="V73" s="4" t="s">
        <v>725</v>
      </c>
      <c r="W73">
        <v>7350</v>
      </c>
      <c r="X73" s="6" t="s">
        <v>262</v>
      </c>
      <c r="Y73" t="s">
        <v>726</v>
      </c>
    </row>
    <row r="74" spans="1:25" x14ac:dyDescent="0.2">
      <c r="A74">
        <v>74</v>
      </c>
      <c r="B74" t="s">
        <v>81</v>
      </c>
      <c r="C74">
        <v>664.59135649656901</v>
      </c>
      <c r="D74">
        <v>33.5438138312172</v>
      </c>
      <c r="E74">
        <v>658.12204549960302</v>
      </c>
      <c r="F74">
        <v>369.62507757817099</v>
      </c>
      <c r="G74">
        <v>-0.97342689364320101</v>
      </c>
      <c r="H74">
        <v>1001.91726986686</v>
      </c>
      <c r="I74" s="1">
        <v>5.8321434015648999E-7</v>
      </c>
      <c r="J74" s="1">
        <v>4.4645829524432999E-7</v>
      </c>
      <c r="L74">
        <v>126</v>
      </c>
      <c r="M74">
        <f>G74*-1</f>
        <v>0.97342689364320101</v>
      </c>
      <c r="N74">
        <v>115</v>
      </c>
      <c r="O74" t="s">
        <v>81</v>
      </c>
      <c r="P74" s="11" t="s">
        <v>297</v>
      </c>
      <c r="Q74" s="5" t="s">
        <v>297</v>
      </c>
      <c r="R74" t="s">
        <v>293</v>
      </c>
      <c r="S74" t="s">
        <v>293</v>
      </c>
      <c r="T74" t="s">
        <v>293</v>
      </c>
      <c r="U74" t="s">
        <v>260</v>
      </c>
      <c r="V74" s="4" t="s">
        <v>295</v>
      </c>
      <c r="W74">
        <v>5562</v>
      </c>
      <c r="X74" s="6" t="s">
        <v>262</v>
      </c>
      <c r="Y74" t="s">
        <v>296</v>
      </c>
    </row>
    <row r="75" spans="1:25" x14ac:dyDescent="0.2">
      <c r="A75">
        <v>75</v>
      </c>
      <c r="B75" t="s">
        <v>82</v>
      </c>
      <c r="C75">
        <v>929.46240800180101</v>
      </c>
      <c r="D75">
        <v>0.85705950507711004</v>
      </c>
      <c r="E75">
        <v>958.53669620759604</v>
      </c>
      <c r="F75">
        <v>492.13015715978798</v>
      </c>
      <c r="G75">
        <v>3.12807575169187</v>
      </c>
      <c r="H75">
        <v>57320.7688316239</v>
      </c>
      <c r="I75" t="s">
        <v>9</v>
      </c>
      <c r="J75" t="s">
        <v>9</v>
      </c>
      <c r="L75">
        <v>153</v>
      </c>
      <c r="M75">
        <f>G75*-1</f>
        <v>-3.12807575169187</v>
      </c>
      <c r="N75">
        <v>88</v>
      </c>
      <c r="O75" t="s">
        <v>82</v>
      </c>
      <c r="P75" s="11" t="s">
        <v>82</v>
      </c>
      <c r="Q75" s="5" t="s">
        <v>82</v>
      </c>
      <c r="R75" t="s">
        <v>299</v>
      </c>
      <c r="S75" t="s">
        <v>394</v>
      </c>
      <c r="T75" t="s">
        <v>394</v>
      </c>
      <c r="U75" t="s">
        <v>260</v>
      </c>
      <c r="V75" s="4" t="s">
        <v>395</v>
      </c>
      <c r="W75">
        <v>6715</v>
      </c>
      <c r="X75" s="6" t="s">
        <v>262</v>
      </c>
      <c r="Y75" t="s">
        <v>396</v>
      </c>
    </row>
    <row r="76" spans="1:25" x14ac:dyDescent="0.2">
      <c r="A76">
        <v>76</v>
      </c>
      <c r="B76" t="s">
        <v>83</v>
      </c>
      <c r="C76">
        <v>822.72983675277203</v>
      </c>
      <c r="D76">
        <v>1.523491675736</v>
      </c>
      <c r="E76">
        <v>974.94045107664203</v>
      </c>
      <c r="F76">
        <v>200.628953807269</v>
      </c>
      <c r="G76">
        <v>18.5006799953469</v>
      </c>
      <c r="H76">
        <v>13069.021990904301</v>
      </c>
      <c r="I76" t="s">
        <v>9</v>
      </c>
      <c r="J76" t="s">
        <v>9</v>
      </c>
      <c r="L76">
        <v>237</v>
      </c>
      <c r="M76">
        <f>G76*-1</f>
        <v>-18.5006799953469</v>
      </c>
      <c r="N76">
        <v>4</v>
      </c>
      <c r="O76" t="s">
        <v>83</v>
      </c>
      <c r="P76" s="11" t="s">
        <v>554</v>
      </c>
      <c r="Q76" s="5" t="s">
        <v>554</v>
      </c>
      <c r="R76" t="s">
        <v>308</v>
      </c>
      <c r="S76" t="s">
        <v>555</v>
      </c>
      <c r="T76" t="s">
        <v>555</v>
      </c>
      <c r="U76" t="s">
        <v>260</v>
      </c>
      <c r="V76" s="4" t="s">
        <v>552</v>
      </c>
      <c r="W76">
        <v>5428</v>
      </c>
      <c r="X76" s="6" t="s">
        <v>262</v>
      </c>
      <c r="Y76" t="s">
        <v>553</v>
      </c>
    </row>
    <row r="77" spans="1:25" x14ac:dyDescent="0.2">
      <c r="A77">
        <v>77</v>
      </c>
      <c r="B77" t="s">
        <v>84</v>
      </c>
      <c r="C77">
        <v>370.54320505638799</v>
      </c>
      <c r="D77">
        <v>60.6126747814005</v>
      </c>
      <c r="E77">
        <v>361.51266203933</v>
      </c>
      <c r="F77">
        <v>314.039682930776</v>
      </c>
      <c r="G77">
        <v>-2.4371093286364598</v>
      </c>
      <c r="H77">
        <v>418.10893359080399</v>
      </c>
      <c r="I77" s="1">
        <v>2.2637336856289E-8</v>
      </c>
      <c r="J77" s="1">
        <v>1.7113290223859101E-8</v>
      </c>
      <c r="L77">
        <v>124</v>
      </c>
      <c r="M77">
        <f>G77*-1</f>
        <v>2.4371093286364598</v>
      </c>
      <c r="N77">
        <v>117</v>
      </c>
      <c r="O77" t="s">
        <v>84</v>
      </c>
      <c r="P77" s="11" t="s">
        <v>383</v>
      </c>
      <c r="Q77" s="5" t="s">
        <v>383</v>
      </c>
      <c r="R77" t="s">
        <v>361</v>
      </c>
      <c r="S77" t="s">
        <v>362</v>
      </c>
      <c r="T77" t="s">
        <v>362</v>
      </c>
      <c r="U77" t="s">
        <v>260</v>
      </c>
      <c r="V77" s="4" t="s">
        <v>384</v>
      </c>
      <c r="W77">
        <v>5422</v>
      </c>
      <c r="X77" s="6" t="s">
        <v>262</v>
      </c>
      <c r="Y77" t="s">
        <v>385</v>
      </c>
    </row>
    <row r="78" spans="1:25" x14ac:dyDescent="0.2">
      <c r="A78">
        <v>78</v>
      </c>
      <c r="B78" t="s">
        <v>85</v>
      </c>
      <c r="C78">
        <v>924.98261980592895</v>
      </c>
      <c r="D78">
        <v>1.08201631760741</v>
      </c>
      <c r="E78">
        <v>960.00896741638496</v>
      </c>
      <c r="F78">
        <v>467.567231732506</v>
      </c>
      <c r="G78">
        <v>3.7867033239830401</v>
      </c>
      <c r="H78">
        <v>43112.585995598201</v>
      </c>
      <c r="I78" t="s">
        <v>9</v>
      </c>
      <c r="J78" t="s">
        <v>9</v>
      </c>
      <c r="L78">
        <v>158</v>
      </c>
      <c r="M78">
        <f>G78*-1</f>
        <v>-3.7867033239830401</v>
      </c>
      <c r="N78">
        <v>83</v>
      </c>
      <c r="O78" t="s">
        <v>85</v>
      </c>
      <c r="P78" s="11" t="s">
        <v>85</v>
      </c>
      <c r="Q78" s="5" t="s">
        <v>85</v>
      </c>
      <c r="R78" t="s">
        <v>317</v>
      </c>
      <c r="S78" t="s">
        <v>318</v>
      </c>
      <c r="T78" t="s">
        <v>318</v>
      </c>
      <c r="U78" t="s">
        <v>260</v>
      </c>
      <c r="V78" s="4" t="s">
        <v>319</v>
      </c>
      <c r="W78">
        <v>760</v>
      </c>
      <c r="X78" s="6" t="s">
        <v>262</v>
      </c>
      <c r="Y78" t="s">
        <v>320</v>
      </c>
    </row>
    <row r="79" spans="1:25" x14ac:dyDescent="0.2">
      <c r="A79">
        <v>79</v>
      </c>
      <c r="B79" t="s">
        <v>86</v>
      </c>
      <c r="C79">
        <v>923.26243704780097</v>
      </c>
      <c r="D79">
        <v>0.61627450741086698</v>
      </c>
      <c r="E79">
        <v>884.82216829993502</v>
      </c>
      <c r="F79">
        <v>393.88308864389103</v>
      </c>
      <c r="G79">
        <v>-4.1635256894866304</v>
      </c>
      <c r="H79">
        <v>63813.578106402303</v>
      </c>
      <c r="I79" s="1">
        <v>9.0022723587482097E-6</v>
      </c>
      <c r="J79" s="1">
        <v>3.8183023978084502E-6</v>
      </c>
      <c r="L79">
        <v>123</v>
      </c>
      <c r="M79">
        <f>G79*-1</f>
        <v>4.1635256894866304</v>
      </c>
      <c r="N79">
        <v>118</v>
      </c>
      <c r="O79" t="s">
        <v>86</v>
      </c>
      <c r="P79" s="11" t="s">
        <v>657</v>
      </c>
      <c r="Q79" s="5" t="s">
        <v>657</v>
      </c>
      <c r="R79" t="s">
        <v>299</v>
      </c>
      <c r="S79" t="s">
        <v>658</v>
      </c>
      <c r="T79" t="s">
        <v>658</v>
      </c>
      <c r="U79" t="s">
        <v>260</v>
      </c>
      <c r="V79" s="4" t="s">
        <v>658</v>
      </c>
      <c r="W79">
        <v>1901</v>
      </c>
      <c r="X79" s="6" t="s">
        <v>262</v>
      </c>
      <c r="Y79" t="s">
        <v>659</v>
      </c>
    </row>
    <row r="80" spans="1:25" ht="17" customHeight="1" x14ac:dyDescent="0.2">
      <c r="A80">
        <v>80</v>
      </c>
      <c r="B80" t="s">
        <v>87</v>
      </c>
      <c r="C80">
        <v>926.77520697150396</v>
      </c>
      <c r="D80">
        <v>0.91954812133077302</v>
      </c>
      <c r="E80">
        <v>987.99231687272197</v>
      </c>
      <c r="F80">
        <v>427.778139223577</v>
      </c>
      <c r="G80">
        <v>6.60538925089089</v>
      </c>
      <c r="H80">
        <v>46420.473404316799</v>
      </c>
      <c r="I80" t="s">
        <v>9</v>
      </c>
      <c r="J80" t="s">
        <v>9</v>
      </c>
      <c r="L80">
        <v>175</v>
      </c>
      <c r="M80">
        <f>G80*-1</f>
        <v>-6.60538925089089</v>
      </c>
      <c r="N80">
        <v>66</v>
      </c>
      <c r="O80" t="s">
        <v>87</v>
      </c>
      <c r="P80" s="11" t="s">
        <v>698</v>
      </c>
      <c r="Q80" s="5" t="s">
        <v>698</v>
      </c>
      <c r="R80" t="s">
        <v>258</v>
      </c>
      <c r="S80" t="s">
        <v>699</v>
      </c>
      <c r="T80" t="s">
        <v>699</v>
      </c>
      <c r="U80" t="s">
        <v>260</v>
      </c>
      <c r="V80" s="4" t="s">
        <v>700</v>
      </c>
      <c r="W80">
        <v>6720</v>
      </c>
      <c r="X80" s="6" t="s">
        <v>262</v>
      </c>
      <c r="Y80" t="s">
        <v>701</v>
      </c>
    </row>
    <row r="81" spans="1:25" x14ac:dyDescent="0.2">
      <c r="A81">
        <v>81</v>
      </c>
      <c r="B81" t="s">
        <v>88</v>
      </c>
      <c r="C81">
        <v>942.44013488472206</v>
      </c>
      <c r="D81">
        <v>1.41956735430286</v>
      </c>
      <c r="E81">
        <v>962.10069510649305</v>
      </c>
      <c r="F81">
        <v>422.041092924851</v>
      </c>
      <c r="G81">
        <v>2.0861335902440401</v>
      </c>
      <c r="H81">
        <v>29630.261945345399</v>
      </c>
      <c r="I81" t="s">
        <v>9</v>
      </c>
      <c r="J81" s="1">
        <v>9.1364347178900206E-6</v>
      </c>
      <c r="L81">
        <v>142</v>
      </c>
      <c r="M81">
        <f>G81*-1</f>
        <v>-2.0861335902440401</v>
      </c>
      <c r="N81">
        <v>99</v>
      </c>
      <c r="O81" t="s">
        <v>88</v>
      </c>
      <c r="P81" s="11" t="s">
        <v>88</v>
      </c>
      <c r="Q81" s="5" t="s">
        <v>88</v>
      </c>
      <c r="R81" t="s">
        <v>414</v>
      </c>
      <c r="S81" t="s">
        <v>526</v>
      </c>
      <c r="T81" t="s">
        <v>526</v>
      </c>
      <c r="U81" t="s">
        <v>260</v>
      </c>
      <c r="V81" s="4" t="s">
        <v>527</v>
      </c>
      <c r="W81">
        <v>3948</v>
      </c>
      <c r="X81" s="6" t="s">
        <v>262</v>
      </c>
      <c r="Y81" t="s">
        <v>528</v>
      </c>
    </row>
    <row r="82" spans="1:25" x14ac:dyDescent="0.2">
      <c r="A82">
        <v>82</v>
      </c>
      <c r="B82" t="s">
        <v>89</v>
      </c>
      <c r="C82">
        <v>922.95971916047597</v>
      </c>
      <c r="D82">
        <v>0.99651174311783597</v>
      </c>
      <c r="E82">
        <v>946.62542367292599</v>
      </c>
      <c r="F82">
        <v>476.37087689337397</v>
      </c>
      <c r="G82">
        <v>2.56411022292242</v>
      </c>
      <c r="H82">
        <v>47703.839762382398</v>
      </c>
      <c r="I82" t="s">
        <v>9</v>
      </c>
      <c r="J82" t="s">
        <v>9</v>
      </c>
      <c r="L82">
        <v>144</v>
      </c>
      <c r="M82">
        <f>G82*-1</f>
        <v>-2.56411022292242</v>
      </c>
      <c r="N82">
        <v>97</v>
      </c>
      <c r="O82" t="s">
        <v>89</v>
      </c>
      <c r="P82" s="11" t="s">
        <v>89</v>
      </c>
      <c r="Q82" s="5" t="s">
        <v>89</v>
      </c>
      <c r="R82" t="s">
        <v>445</v>
      </c>
      <c r="S82" t="s">
        <v>677</v>
      </c>
      <c r="T82" t="s">
        <v>677</v>
      </c>
      <c r="U82" t="s">
        <v>260</v>
      </c>
      <c r="V82" s="4" t="s">
        <v>675</v>
      </c>
      <c r="W82">
        <v>6524</v>
      </c>
      <c r="X82" s="6" t="s">
        <v>262</v>
      </c>
      <c r="Y82" t="s">
        <v>676</v>
      </c>
    </row>
    <row r="83" spans="1:25" x14ac:dyDescent="0.2">
      <c r="A83">
        <v>83</v>
      </c>
      <c r="B83" t="s">
        <v>90</v>
      </c>
      <c r="C83">
        <v>467.29730641921901</v>
      </c>
      <c r="D83">
        <v>10.676463114810501</v>
      </c>
      <c r="E83">
        <v>344.90024977296201</v>
      </c>
      <c r="F83">
        <v>152.41380366438301</v>
      </c>
      <c r="G83">
        <v>-26.192544867025699</v>
      </c>
      <c r="H83">
        <v>1327.5683063331501</v>
      </c>
      <c r="I83" s="1">
        <v>8.97476611322221E-9</v>
      </c>
      <c r="J83" s="1">
        <v>8.7924770500104598E-9</v>
      </c>
      <c r="L83">
        <v>35</v>
      </c>
      <c r="M83">
        <f>G83*-1</f>
        <v>26.192544867025699</v>
      </c>
      <c r="N83">
        <v>206</v>
      </c>
      <c r="O83" t="s">
        <v>90</v>
      </c>
      <c r="P83" s="11" t="s">
        <v>556</v>
      </c>
      <c r="Q83" s="5" t="s">
        <v>556</v>
      </c>
      <c r="R83" t="s">
        <v>557</v>
      </c>
      <c r="S83" t="s">
        <v>558</v>
      </c>
      <c r="T83" t="s">
        <v>558</v>
      </c>
      <c r="U83" t="s">
        <v>260</v>
      </c>
      <c r="V83" s="4" t="s">
        <v>558</v>
      </c>
      <c r="W83">
        <v>10135</v>
      </c>
      <c r="X83" s="6" t="s">
        <v>262</v>
      </c>
      <c r="Y83" t="s">
        <v>559</v>
      </c>
    </row>
    <row r="84" spans="1:25" x14ac:dyDescent="0.2">
      <c r="A84">
        <v>84</v>
      </c>
      <c r="B84" t="s">
        <v>91</v>
      </c>
      <c r="C84">
        <v>907.92908246283798</v>
      </c>
      <c r="D84">
        <v>0.90949073956409998</v>
      </c>
      <c r="E84">
        <v>956.10986531629703</v>
      </c>
      <c r="F84">
        <v>409.73474233625097</v>
      </c>
      <c r="G84">
        <v>5.3066680849966996</v>
      </c>
      <c r="H84">
        <v>44951.007614726099</v>
      </c>
      <c r="I84" s="1">
        <v>7.2200464381127702E-6</v>
      </c>
      <c r="J84" s="1">
        <v>7.6421913132984101E-6</v>
      </c>
      <c r="L84">
        <v>168</v>
      </c>
      <c r="M84">
        <f>G84*-1</f>
        <v>-5.3066680849966996</v>
      </c>
      <c r="N84">
        <v>73</v>
      </c>
      <c r="O84" t="s">
        <v>91</v>
      </c>
      <c r="P84" s="11" t="s">
        <v>91</v>
      </c>
      <c r="Q84" s="5" t="s">
        <v>91</v>
      </c>
      <c r="R84" t="s">
        <v>308</v>
      </c>
      <c r="S84" t="s">
        <v>724</v>
      </c>
      <c r="T84" t="s">
        <v>724</v>
      </c>
      <c r="U84" t="s">
        <v>260</v>
      </c>
      <c r="V84" s="4" t="s">
        <v>725</v>
      </c>
      <c r="W84">
        <v>7350</v>
      </c>
      <c r="X84" s="6" t="s">
        <v>262</v>
      </c>
      <c r="Y84" t="s">
        <v>726</v>
      </c>
    </row>
    <row r="85" spans="1:25" x14ac:dyDescent="0.2">
      <c r="A85">
        <v>85</v>
      </c>
      <c r="B85" t="s">
        <v>92</v>
      </c>
      <c r="C85">
        <v>475.74254362562903</v>
      </c>
      <c r="D85">
        <v>21.7505691661237</v>
      </c>
      <c r="E85">
        <v>375.35429442569603</v>
      </c>
      <c r="F85">
        <v>176.29055674957701</v>
      </c>
      <c r="G85">
        <v>-21.101381523475901</v>
      </c>
      <c r="H85">
        <v>710.51008552065105</v>
      </c>
      <c r="I85" s="1">
        <v>1.1304974500667101E-8</v>
      </c>
      <c r="J85" s="1">
        <v>1.21817052335207E-8</v>
      </c>
      <c r="L85">
        <v>60</v>
      </c>
      <c r="M85">
        <f>G85*-1</f>
        <v>21.101381523475901</v>
      </c>
      <c r="N85">
        <v>181</v>
      </c>
      <c r="O85" t="s">
        <v>92</v>
      </c>
      <c r="P85" s="11" t="s">
        <v>560</v>
      </c>
      <c r="Q85" s="5" t="s">
        <v>560</v>
      </c>
      <c r="R85" t="s">
        <v>557</v>
      </c>
      <c r="S85" t="s">
        <v>558</v>
      </c>
      <c r="T85" t="s">
        <v>558</v>
      </c>
      <c r="U85" t="s">
        <v>260</v>
      </c>
      <c r="V85" s="4" t="s">
        <v>558</v>
      </c>
      <c r="W85">
        <v>10135</v>
      </c>
      <c r="X85" s="6" t="s">
        <v>262</v>
      </c>
      <c r="Y85" t="s">
        <v>559</v>
      </c>
    </row>
    <row r="86" spans="1:25" x14ac:dyDescent="0.2">
      <c r="A86">
        <v>86</v>
      </c>
      <c r="B86" t="s">
        <v>93</v>
      </c>
      <c r="C86">
        <v>959.06811105063298</v>
      </c>
      <c r="D86">
        <v>3.0185075355755302</v>
      </c>
      <c r="E86">
        <v>894.15012382874295</v>
      </c>
      <c r="F86">
        <v>508.28920393563197</v>
      </c>
      <c r="G86">
        <v>-6.7688609884833202</v>
      </c>
      <c r="H86">
        <v>16739.0901114222</v>
      </c>
      <c r="I86" t="s">
        <v>9</v>
      </c>
      <c r="J86" t="s">
        <v>9</v>
      </c>
      <c r="L86">
        <v>120</v>
      </c>
      <c r="M86">
        <f>G86*-1</f>
        <v>6.7688609884833202</v>
      </c>
      <c r="N86">
        <v>121</v>
      </c>
      <c r="O86" t="s">
        <v>93</v>
      </c>
      <c r="P86" s="11" t="s">
        <v>93</v>
      </c>
      <c r="Q86" s="5" t="s">
        <v>93</v>
      </c>
      <c r="R86" t="s">
        <v>303</v>
      </c>
      <c r="S86" t="s">
        <v>729</v>
      </c>
      <c r="T86" t="s">
        <v>729</v>
      </c>
      <c r="U86" t="s">
        <v>260</v>
      </c>
      <c r="X86" s="6" t="s">
        <v>262</v>
      </c>
    </row>
    <row r="87" spans="1:25" ht="16" customHeight="1" x14ac:dyDescent="0.2">
      <c r="A87">
        <v>87</v>
      </c>
      <c r="B87" t="s">
        <v>94</v>
      </c>
      <c r="C87">
        <v>913.83028141296904</v>
      </c>
      <c r="D87">
        <v>24.286501571238901</v>
      </c>
      <c r="E87">
        <v>925.87463540476301</v>
      </c>
      <c r="F87">
        <v>494.62053022584502</v>
      </c>
      <c r="G87">
        <v>1.31800775666683</v>
      </c>
      <c r="H87">
        <v>1936.60674953529</v>
      </c>
      <c r="I87" s="1">
        <v>1.14605630506492E-5</v>
      </c>
      <c r="J87" t="s">
        <v>9</v>
      </c>
      <c r="L87">
        <v>136</v>
      </c>
      <c r="M87">
        <f>G87*-1</f>
        <v>-1.31800775666683</v>
      </c>
      <c r="N87">
        <v>105</v>
      </c>
      <c r="O87" t="s">
        <v>94</v>
      </c>
      <c r="P87" s="11" t="s">
        <v>94</v>
      </c>
      <c r="Q87" s="5" t="s">
        <v>94</v>
      </c>
      <c r="R87" t="s">
        <v>361</v>
      </c>
      <c r="S87" t="s">
        <v>506</v>
      </c>
      <c r="T87" t="s">
        <v>506</v>
      </c>
      <c r="U87" t="s">
        <v>260</v>
      </c>
      <c r="V87" s="4" t="s">
        <v>648</v>
      </c>
      <c r="W87">
        <v>6240</v>
      </c>
      <c r="X87" s="6" t="s">
        <v>262</v>
      </c>
      <c r="Y87" t="s">
        <v>649</v>
      </c>
    </row>
    <row r="88" spans="1:25" ht="16" customHeight="1" x14ac:dyDescent="0.2">
      <c r="A88">
        <v>88</v>
      </c>
      <c r="B88" t="s">
        <v>95</v>
      </c>
      <c r="C88">
        <v>931.404666003687</v>
      </c>
      <c r="D88">
        <v>0.904145651686172</v>
      </c>
      <c r="E88">
        <v>960.92941152461196</v>
      </c>
      <c r="F88">
        <v>458.81928779110001</v>
      </c>
      <c r="G88">
        <v>3.1699159987682699</v>
      </c>
      <c r="H88">
        <v>50646.169816271497</v>
      </c>
      <c r="I88" t="s">
        <v>9</v>
      </c>
      <c r="J88" t="s">
        <v>9</v>
      </c>
      <c r="L88">
        <v>154</v>
      </c>
      <c r="M88">
        <f>G88*-1</f>
        <v>-3.1699159987682699</v>
      </c>
      <c r="N88">
        <v>87</v>
      </c>
      <c r="O88" t="s">
        <v>95</v>
      </c>
      <c r="P88" s="11" t="s">
        <v>95</v>
      </c>
      <c r="Q88" s="5" t="s">
        <v>95</v>
      </c>
      <c r="R88" t="s">
        <v>361</v>
      </c>
      <c r="S88" t="s">
        <v>506</v>
      </c>
      <c r="T88" t="s">
        <v>506</v>
      </c>
      <c r="U88" t="s">
        <v>260</v>
      </c>
      <c r="V88" s="4" t="s">
        <v>646</v>
      </c>
      <c r="W88">
        <v>7498</v>
      </c>
      <c r="X88" s="6" t="s">
        <v>262</v>
      </c>
      <c r="Y88" t="s">
        <v>647</v>
      </c>
    </row>
    <row r="89" spans="1:25" x14ac:dyDescent="0.2">
      <c r="A89">
        <v>89</v>
      </c>
      <c r="B89" t="s">
        <v>96</v>
      </c>
      <c r="C89">
        <v>864.96065369622897</v>
      </c>
      <c r="D89">
        <v>1.81018324844804</v>
      </c>
      <c r="E89">
        <v>899.92822392997903</v>
      </c>
      <c r="F89">
        <v>315.20420908121798</v>
      </c>
      <c r="G89">
        <v>4.04267755814364</v>
      </c>
      <c r="H89">
        <v>17312.834272522301</v>
      </c>
      <c r="I89" t="s">
        <v>9</v>
      </c>
      <c r="J89" t="s">
        <v>9</v>
      </c>
      <c r="L89">
        <v>160</v>
      </c>
      <c r="M89">
        <f>G89*-1</f>
        <v>-4.04267755814364</v>
      </c>
      <c r="N89">
        <v>81</v>
      </c>
      <c r="O89" t="s">
        <v>96</v>
      </c>
      <c r="P89" s="11" t="s">
        <v>424</v>
      </c>
      <c r="Q89" s="5" t="s">
        <v>424</v>
      </c>
      <c r="R89" t="s">
        <v>258</v>
      </c>
      <c r="S89" t="s">
        <v>422</v>
      </c>
      <c r="T89" t="s">
        <v>422</v>
      </c>
      <c r="U89" t="s">
        <v>260</v>
      </c>
      <c r="V89" s="4" t="s">
        <v>422</v>
      </c>
      <c r="W89">
        <v>355</v>
      </c>
      <c r="X89" s="6" t="s">
        <v>262</v>
      </c>
      <c r="Y89" t="s">
        <v>423</v>
      </c>
    </row>
    <row r="90" spans="1:25" x14ac:dyDescent="0.2">
      <c r="A90">
        <v>90</v>
      </c>
      <c r="B90" s="5" t="s">
        <v>97</v>
      </c>
      <c r="C90">
        <v>918.80230833727705</v>
      </c>
      <c r="D90">
        <v>1.03552152533432</v>
      </c>
      <c r="E90">
        <v>934.305490613026</v>
      </c>
      <c r="F90">
        <v>473.78163161098502</v>
      </c>
      <c r="G90">
        <v>1.68732513349958</v>
      </c>
      <c r="H90">
        <v>45652.948636970301</v>
      </c>
      <c r="I90" t="s">
        <v>9</v>
      </c>
      <c r="J90" t="s">
        <v>9</v>
      </c>
      <c r="L90">
        <v>139</v>
      </c>
      <c r="M90">
        <f>G90*-1</f>
        <v>-1.68732513349958</v>
      </c>
      <c r="N90">
        <v>102</v>
      </c>
      <c r="O90" s="5" t="s">
        <v>97</v>
      </c>
      <c r="P90" s="5" t="s">
        <v>97</v>
      </c>
      <c r="Q90" s="5" t="s">
        <v>433</v>
      </c>
      <c r="R90" t="s">
        <v>434</v>
      </c>
      <c r="S90" t="s">
        <v>435</v>
      </c>
      <c r="T90" t="s">
        <v>435</v>
      </c>
      <c r="U90" t="s">
        <v>260</v>
      </c>
      <c r="V90" s="4" t="s">
        <v>436</v>
      </c>
      <c r="W90">
        <v>2746</v>
      </c>
      <c r="X90" s="6" t="s">
        <v>262</v>
      </c>
      <c r="Y90" t="s">
        <v>437</v>
      </c>
    </row>
    <row r="91" spans="1:25" x14ac:dyDescent="0.2">
      <c r="A91">
        <v>91</v>
      </c>
      <c r="B91" t="s">
        <v>98</v>
      </c>
      <c r="C91">
        <v>922.94261271373796</v>
      </c>
      <c r="D91">
        <v>0.66151232156108797</v>
      </c>
      <c r="E91">
        <v>949.92555960450795</v>
      </c>
      <c r="F91">
        <v>443.17038263665302</v>
      </c>
      <c r="G91">
        <v>2.9235779688871801</v>
      </c>
      <c r="H91">
        <v>66893.518970414007</v>
      </c>
      <c r="I91" t="s">
        <v>9</v>
      </c>
      <c r="J91" t="s">
        <v>9</v>
      </c>
      <c r="L91">
        <v>151</v>
      </c>
      <c r="M91">
        <f>G91*-1</f>
        <v>-2.9235779688871801</v>
      </c>
      <c r="N91">
        <v>90</v>
      </c>
      <c r="O91" t="s">
        <v>98</v>
      </c>
      <c r="P91" s="11" t="s">
        <v>667</v>
      </c>
      <c r="Q91" s="5" t="s">
        <v>667</v>
      </c>
      <c r="R91" t="s">
        <v>518</v>
      </c>
      <c r="S91" t="s">
        <v>668</v>
      </c>
      <c r="T91" t="s">
        <v>668</v>
      </c>
      <c r="U91" t="s">
        <v>260</v>
      </c>
      <c r="X91" s="6" t="s">
        <v>262</v>
      </c>
    </row>
    <row r="92" spans="1:25" x14ac:dyDescent="0.2">
      <c r="A92">
        <v>92</v>
      </c>
      <c r="B92" t="s">
        <v>99</v>
      </c>
      <c r="C92">
        <v>811.84227391158402</v>
      </c>
      <c r="D92">
        <v>34.204993811609</v>
      </c>
      <c r="E92">
        <v>841.96930468103506</v>
      </c>
      <c r="F92">
        <v>372.42133982117502</v>
      </c>
      <c r="G92">
        <v>3.7109462930889299</v>
      </c>
      <c r="H92">
        <v>988.79230287940402</v>
      </c>
      <c r="I92" s="1">
        <v>2.0993051504024899E-6</v>
      </c>
      <c r="J92" s="1">
        <v>2.22132859325164E-6</v>
      </c>
      <c r="L92">
        <v>157</v>
      </c>
      <c r="M92">
        <f>G92*-1</f>
        <v>-3.7109462930889299</v>
      </c>
      <c r="N92">
        <v>84</v>
      </c>
      <c r="O92" t="s">
        <v>99</v>
      </c>
      <c r="P92" s="11" t="s">
        <v>704</v>
      </c>
      <c r="Q92" s="5" t="s">
        <v>704</v>
      </c>
      <c r="R92" t="s">
        <v>518</v>
      </c>
      <c r="S92" t="s">
        <v>705</v>
      </c>
      <c r="T92" t="s">
        <v>705</v>
      </c>
      <c r="U92" t="s">
        <v>260</v>
      </c>
      <c r="V92" s="4" t="s">
        <v>706</v>
      </c>
      <c r="W92">
        <v>80704</v>
      </c>
      <c r="X92" s="6" t="s">
        <v>262</v>
      </c>
      <c r="Y92" t="s">
        <v>707</v>
      </c>
    </row>
    <row r="93" spans="1:25" x14ac:dyDescent="0.2">
      <c r="A93">
        <v>93</v>
      </c>
      <c r="B93" t="s">
        <v>100</v>
      </c>
      <c r="C93">
        <v>942.72846231788401</v>
      </c>
      <c r="D93">
        <v>0.494119728703658</v>
      </c>
      <c r="E93">
        <v>1010.39479722914</v>
      </c>
      <c r="F93">
        <v>360.45311868814298</v>
      </c>
      <c r="G93">
        <v>7.17771210013996</v>
      </c>
      <c r="H93">
        <v>72848.538127349399</v>
      </c>
      <c r="I93" t="s">
        <v>9</v>
      </c>
      <c r="J93" t="s">
        <v>9</v>
      </c>
      <c r="L93">
        <v>184</v>
      </c>
      <c r="M93">
        <f>G93*-1</f>
        <v>-7.17771210013996</v>
      </c>
      <c r="N93">
        <v>57</v>
      </c>
      <c r="O93" t="s">
        <v>100</v>
      </c>
      <c r="P93" s="11" t="s">
        <v>100</v>
      </c>
      <c r="Q93" s="5" t="s">
        <v>100</v>
      </c>
      <c r="R93" t="s">
        <v>406</v>
      </c>
      <c r="S93" t="s">
        <v>620</v>
      </c>
      <c r="T93" t="s">
        <v>620</v>
      </c>
      <c r="U93" t="s">
        <v>260</v>
      </c>
      <c r="V93" s="4" t="s">
        <v>621</v>
      </c>
      <c r="W93">
        <v>9451</v>
      </c>
      <c r="X93" s="6" t="s">
        <v>262</v>
      </c>
      <c r="Y93" t="s">
        <v>622</v>
      </c>
    </row>
    <row r="94" spans="1:25" x14ac:dyDescent="0.2">
      <c r="A94">
        <v>94</v>
      </c>
      <c r="B94" t="s">
        <v>101</v>
      </c>
      <c r="C94">
        <v>913.43601743775002</v>
      </c>
      <c r="D94">
        <v>0.88393178768802305</v>
      </c>
      <c r="E94">
        <v>962.16351402955695</v>
      </c>
      <c r="F94">
        <v>331.19831470244901</v>
      </c>
      <c r="G94">
        <v>5.3345276145877403</v>
      </c>
      <c r="H94">
        <v>37368.7639154508</v>
      </c>
      <c r="I94" s="1">
        <v>1.35502540887299E-5</v>
      </c>
      <c r="J94" t="s">
        <v>9</v>
      </c>
      <c r="L94">
        <v>169</v>
      </c>
      <c r="M94">
        <f>G94*-1</f>
        <v>-5.3345276145877403</v>
      </c>
      <c r="N94">
        <v>72</v>
      </c>
      <c r="O94" t="s">
        <v>101</v>
      </c>
      <c r="P94" s="11" t="s">
        <v>101</v>
      </c>
      <c r="Q94" s="5" t="s">
        <v>101</v>
      </c>
      <c r="R94" t="s">
        <v>303</v>
      </c>
      <c r="S94" t="s">
        <v>729</v>
      </c>
      <c r="T94" t="s">
        <v>729</v>
      </c>
      <c r="U94" t="s">
        <v>260</v>
      </c>
      <c r="V94" s="4" t="s">
        <v>733</v>
      </c>
      <c r="W94">
        <v>23657</v>
      </c>
      <c r="X94" s="6" t="s">
        <v>262</v>
      </c>
      <c r="Y94" t="s">
        <v>734</v>
      </c>
    </row>
    <row r="95" spans="1:25" x14ac:dyDescent="0.2">
      <c r="A95">
        <v>95</v>
      </c>
      <c r="B95" t="s">
        <v>102</v>
      </c>
      <c r="C95">
        <v>917.47580042567597</v>
      </c>
      <c r="D95">
        <v>0.75012356270728198</v>
      </c>
      <c r="E95">
        <v>936.52640468995401</v>
      </c>
      <c r="F95">
        <v>468.11782208134701</v>
      </c>
      <c r="G95">
        <v>2.07641490439747</v>
      </c>
      <c r="H95">
        <v>62305.428299286599</v>
      </c>
      <c r="I95" t="s">
        <v>9</v>
      </c>
      <c r="J95" t="s">
        <v>9</v>
      </c>
      <c r="L95">
        <v>141</v>
      </c>
      <c r="M95">
        <f>G95*-1</f>
        <v>-2.07641490439747</v>
      </c>
      <c r="N95">
        <v>100</v>
      </c>
      <c r="O95" t="s">
        <v>102</v>
      </c>
      <c r="P95" s="11" t="s">
        <v>102</v>
      </c>
      <c r="Q95" s="5" t="s">
        <v>102</v>
      </c>
      <c r="R95" t="s">
        <v>276</v>
      </c>
      <c r="S95" t="s">
        <v>277</v>
      </c>
      <c r="T95" t="s">
        <v>277</v>
      </c>
      <c r="U95" t="s">
        <v>260</v>
      </c>
      <c r="V95" s="4" t="s">
        <v>278</v>
      </c>
      <c r="W95">
        <v>124</v>
      </c>
      <c r="X95" s="6" t="s">
        <v>262</v>
      </c>
      <c r="Y95" t="s">
        <v>279</v>
      </c>
    </row>
    <row r="96" spans="1:25" x14ac:dyDescent="0.2">
      <c r="A96">
        <v>96</v>
      </c>
      <c r="B96" t="s">
        <v>103</v>
      </c>
      <c r="C96">
        <v>886.45689783610896</v>
      </c>
      <c r="D96">
        <v>2.2899411742358802</v>
      </c>
      <c r="E96">
        <v>954.53138546445405</v>
      </c>
      <c r="F96">
        <v>364.03669907406697</v>
      </c>
      <c r="G96">
        <v>7.6793905935549498</v>
      </c>
      <c r="H96">
        <v>15797.207455363599</v>
      </c>
      <c r="I96" s="1">
        <v>6.4350563019243402E-6</v>
      </c>
      <c r="J96" s="1">
        <v>1.05637234716221E-5</v>
      </c>
      <c r="L96">
        <v>191</v>
      </c>
      <c r="M96">
        <f>G96*-1</f>
        <v>-7.6793905935549498</v>
      </c>
      <c r="N96">
        <v>50</v>
      </c>
      <c r="O96" t="s">
        <v>103</v>
      </c>
      <c r="P96" s="11" t="s">
        <v>103</v>
      </c>
      <c r="Q96" s="5" t="s">
        <v>103</v>
      </c>
      <c r="R96" t="s">
        <v>299</v>
      </c>
      <c r="S96" t="s">
        <v>653</v>
      </c>
      <c r="T96" t="s">
        <v>653</v>
      </c>
      <c r="U96" t="s">
        <v>260</v>
      </c>
      <c r="V96" s="4" t="s">
        <v>654</v>
      </c>
      <c r="W96">
        <v>5914</v>
      </c>
      <c r="X96" s="6" t="s">
        <v>262</v>
      </c>
      <c r="Y96" t="s">
        <v>655</v>
      </c>
    </row>
    <row r="97" spans="1:25" x14ac:dyDescent="0.2">
      <c r="A97">
        <v>97</v>
      </c>
      <c r="B97" t="s">
        <v>104</v>
      </c>
      <c r="C97">
        <v>918.99640554505504</v>
      </c>
      <c r="D97">
        <v>0.91477375019992901</v>
      </c>
      <c r="E97">
        <v>960.63953921253596</v>
      </c>
      <c r="F97">
        <v>479.294036608216</v>
      </c>
      <c r="G97">
        <v>4.5313706796036897</v>
      </c>
      <c r="H97">
        <v>52294.817462073399</v>
      </c>
      <c r="I97" t="s">
        <v>9</v>
      </c>
      <c r="J97" t="s">
        <v>9</v>
      </c>
      <c r="L97">
        <v>163</v>
      </c>
      <c r="M97">
        <f>G97*-1</f>
        <v>-4.5313706796036897</v>
      </c>
      <c r="N97">
        <v>78</v>
      </c>
      <c r="O97" t="s">
        <v>104</v>
      </c>
      <c r="P97" s="11" t="s">
        <v>104</v>
      </c>
      <c r="Q97" s="5" t="s">
        <v>104</v>
      </c>
      <c r="R97" t="s">
        <v>299</v>
      </c>
      <c r="S97" t="s">
        <v>428</v>
      </c>
      <c r="T97" t="s">
        <v>428</v>
      </c>
      <c r="U97" t="s">
        <v>260</v>
      </c>
      <c r="X97" s="6" t="s">
        <v>262</v>
      </c>
    </row>
    <row r="98" spans="1:25" x14ac:dyDescent="0.2">
      <c r="A98">
        <v>98</v>
      </c>
      <c r="B98" t="s">
        <v>105</v>
      </c>
      <c r="C98">
        <v>915.68489226811698</v>
      </c>
      <c r="D98">
        <v>1.00298247259397</v>
      </c>
      <c r="E98">
        <v>994.79576044472105</v>
      </c>
      <c r="F98">
        <v>397.64982622329399</v>
      </c>
      <c r="G98">
        <v>8.6395296946145397</v>
      </c>
      <c r="H98">
        <v>39546.7373148474</v>
      </c>
      <c r="I98" t="s">
        <v>9</v>
      </c>
      <c r="J98" t="s">
        <v>9</v>
      </c>
      <c r="L98">
        <v>201</v>
      </c>
      <c r="M98">
        <f>G98*-1</f>
        <v>-8.6395296946145397</v>
      </c>
      <c r="N98">
        <v>40</v>
      </c>
      <c r="O98" t="s">
        <v>105</v>
      </c>
      <c r="P98" s="11" t="s">
        <v>105</v>
      </c>
      <c r="Q98" s="5" t="s">
        <v>105</v>
      </c>
      <c r="R98" t="s">
        <v>361</v>
      </c>
      <c r="S98" t="s">
        <v>656</v>
      </c>
      <c r="T98" t="s">
        <v>656</v>
      </c>
      <c r="U98" t="s">
        <v>260</v>
      </c>
      <c r="V98" s="4" t="s">
        <v>648</v>
      </c>
      <c r="W98">
        <v>6240</v>
      </c>
      <c r="X98" s="6" t="s">
        <v>262</v>
      </c>
      <c r="Y98" t="s">
        <v>649</v>
      </c>
    </row>
    <row r="99" spans="1:25" x14ac:dyDescent="0.2">
      <c r="A99">
        <v>99</v>
      </c>
      <c r="B99" t="s">
        <v>106</v>
      </c>
      <c r="C99">
        <v>918.736284344772</v>
      </c>
      <c r="D99">
        <v>0.706819729849266</v>
      </c>
      <c r="E99">
        <v>997.78791098400802</v>
      </c>
      <c r="F99">
        <v>409.066569852013</v>
      </c>
      <c r="G99">
        <v>8.6043871333126205</v>
      </c>
      <c r="H99">
        <v>57774.243258496703</v>
      </c>
      <c r="I99" t="s">
        <v>9</v>
      </c>
      <c r="J99" t="s">
        <v>9</v>
      </c>
      <c r="L99">
        <v>200</v>
      </c>
      <c r="M99">
        <f>G99*-1</f>
        <v>-8.6043871333126205</v>
      </c>
      <c r="N99">
        <v>41</v>
      </c>
      <c r="O99" t="s">
        <v>106</v>
      </c>
      <c r="P99" s="11" t="s">
        <v>329</v>
      </c>
      <c r="Q99" s="5" t="s">
        <v>329</v>
      </c>
      <c r="R99" t="s">
        <v>308</v>
      </c>
      <c r="S99" t="s">
        <v>330</v>
      </c>
      <c r="T99" t="s">
        <v>330</v>
      </c>
      <c r="U99" t="s">
        <v>260</v>
      </c>
      <c r="V99" s="4" t="s">
        <v>331</v>
      </c>
      <c r="W99">
        <v>4719</v>
      </c>
      <c r="X99" s="6" t="s">
        <v>262</v>
      </c>
      <c r="Y99" t="s">
        <v>332</v>
      </c>
    </row>
    <row r="100" spans="1:25" x14ac:dyDescent="0.2">
      <c r="A100">
        <v>100</v>
      </c>
      <c r="B100" t="s">
        <v>107</v>
      </c>
      <c r="C100">
        <v>936.46223563963304</v>
      </c>
      <c r="D100">
        <v>27.429231788016001</v>
      </c>
      <c r="E100">
        <v>944.18532888562504</v>
      </c>
      <c r="F100">
        <v>457.87983996706498</v>
      </c>
      <c r="G100">
        <v>0.82470952400087205</v>
      </c>
      <c r="H100">
        <v>1569.3133934837899</v>
      </c>
      <c r="I100" t="s">
        <v>9</v>
      </c>
      <c r="J100" t="s">
        <v>9</v>
      </c>
      <c r="L100">
        <v>132</v>
      </c>
      <c r="M100">
        <f>G100*-1</f>
        <v>-0.82470952400087205</v>
      </c>
      <c r="N100">
        <v>109</v>
      </c>
      <c r="O100" t="s">
        <v>107</v>
      </c>
      <c r="P100" s="12" t="s">
        <v>107</v>
      </c>
      <c r="Q100" s="9" t="s">
        <v>107</v>
      </c>
      <c r="R100" s="8" t="s">
        <v>361</v>
      </c>
      <c r="S100" s="8" t="s">
        <v>391</v>
      </c>
      <c r="T100" s="8" t="s">
        <v>391</v>
      </c>
      <c r="U100" s="8" t="s">
        <v>364</v>
      </c>
      <c r="V100" s="10" t="s">
        <v>391</v>
      </c>
      <c r="W100" s="8">
        <v>1723</v>
      </c>
      <c r="X100" s="8" t="s">
        <v>262</v>
      </c>
      <c r="Y100" s="8" t="s">
        <v>392</v>
      </c>
    </row>
    <row r="101" spans="1:25" x14ac:dyDescent="0.2">
      <c r="A101">
        <v>101</v>
      </c>
      <c r="B101" t="s">
        <v>108</v>
      </c>
      <c r="C101">
        <v>917.67320946527195</v>
      </c>
      <c r="D101">
        <v>0.84353137575471904</v>
      </c>
      <c r="E101">
        <v>996.456442603607</v>
      </c>
      <c r="F101">
        <v>401.611608552853</v>
      </c>
      <c r="G101">
        <v>8.5851076751212592</v>
      </c>
      <c r="H101">
        <v>47510.749297087503</v>
      </c>
      <c r="I101" t="s">
        <v>9</v>
      </c>
      <c r="J101" t="s">
        <v>9</v>
      </c>
      <c r="L101">
        <v>198</v>
      </c>
      <c r="M101">
        <f>G101*-1</f>
        <v>-8.5851076751212592</v>
      </c>
      <c r="N101">
        <v>43</v>
      </c>
      <c r="O101" t="s">
        <v>108</v>
      </c>
      <c r="P101" s="11" t="s">
        <v>449</v>
      </c>
      <c r="Q101" s="5" t="s">
        <v>449</v>
      </c>
      <c r="R101" t="s">
        <v>445</v>
      </c>
      <c r="S101" t="s">
        <v>446</v>
      </c>
      <c r="T101" t="s">
        <v>446</v>
      </c>
      <c r="U101" t="s">
        <v>260</v>
      </c>
      <c r="V101" s="4" t="s">
        <v>450</v>
      </c>
      <c r="W101">
        <v>7357</v>
      </c>
      <c r="X101" s="6" t="s">
        <v>262</v>
      </c>
      <c r="Y101" t="s">
        <v>451</v>
      </c>
    </row>
    <row r="102" spans="1:25" x14ac:dyDescent="0.2">
      <c r="A102">
        <v>102</v>
      </c>
      <c r="B102" t="s">
        <v>109</v>
      </c>
      <c r="C102">
        <v>918.74006011411495</v>
      </c>
      <c r="D102">
        <v>0.51328251161538396</v>
      </c>
      <c r="E102">
        <v>985.12725943298005</v>
      </c>
      <c r="F102">
        <v>406.20513732598198</v>
      </c>
      <c r="G102">
        <v>7.2258957893507603</v>
      </c>
      <c r="H102">
        <v>79038.705904393399</v>
      </c>
      <c r="I102" t="s">
        <v>9</v>
      </c>
      <c r="J102" t="s">
        <v>9</v>
      </c>
      <c r="L102">
        <v>187</v>
      </c>
      <c r="M102">
        <f>G102*-1</f>
        <v>-7.2258957893507603</v>
      </c>
      <c r="N102">
        <v>54</v>
      </c>
      <c r="O102" t="s">
        <v>109</v>
      </c>
      <c r="P102" s="11" t="s">
        <v>109</v>
      </c>
      <c r="Q102" s="5" t="s">
        <v>109</v>
      </c>
      <c r="R102" t="s">
        <v>299</v>
      </c>
      <c r="S102" t="s">
        <v>653</v>
      </c>
      <c r="T102" t="s">
        <v>653</v>
      </c>
      <c r="U102" t="s">
        <v>260</v>
      </c>
      <c r="V102" s="4" t="s">
        <v>654</v>
      </c>
      <c r="W102">
        <v>5914</v>
      </c>
      <c r="X102" s="6" t="s">
        <v>262</v>
      </c>
      <c r="Y102" t="s">
        <v>655</v>
      </c>
    </row>
    <row r="103" spans="1:25" x14ac:dyDescent="0.2">
      <c r="A103">
        <v>103</v>
      </c>
      <c r="B103" t="s">
        <v>110</v>
      </c>
      <c r="C103">
        <v>18.408079848958099</v>
      </c>
      <c r="D103">
        <v>248.41929662581799</v>
      </c>
      <c r="E103">
        <v>10.5719288566036</v>
      </c>
      <c r="F103">
        <v>496.838374044256</v>
      </c>
      <c r="G103">
        <v>-42.569084101392598</v>
      </c>
      <c r="H103">
        <v>99.999911759117197</v>
      </c>
      <c r="I103" t="e">
        <f>-Inf</f>
        <v>#NAME?</v>
      </c>
      <c r="J103" s="1">
        <v>2.2511546916744E-10</v>
      </c>
      <c r="L103">
        <v>3</v>
      </c>
      <c r="M103">
        <f>G103*-1</f>
        <v>42.569084101392598</v>
      </c>
      <c r="N103">
        <v>238</v>
      </c>
      <c r="O103" t="s">
        <v>110</v>
      </c>
      <c r="P103" s="11" t="s">
        <v>110</v>
      </c>
      <c r="Q103" s="5" t="s">
        <v>110</v>
      </c>
      <c r="R103" t="s">
        <v>361</v>
      </c>
      <c r="S103" t="s">
        <v>389</v>
      </c>
      <c r="T103" t="s">
        <v>389</v>
      </c>
      <c r="U103" t="s">
        <v>260</v>
      </c>
      <c r="V103" s="4" t="s">
        <v>389</v>
      </c>
      <c r="W103">
        <v>1719</v>
      </c>
      <c r="X103" s="6" t="s">
        <v>262</v>
      </c>
      <c r="Y103" t="s">
        <v>390</v>
      </c>
    </row>
    <row r="104" spans="1:25" x14ac:dyDescent="0.2">
      <c r="A104">
        <v>104</v>
      </c>
      <c r="B104" t="s">
        <v>111</v>
      </c>
      <c r="C104">
        <v>892.93778839902404</v>
      </c>
      <c r="D104">
        <v>1.36931460775447</v>
      </c>
      <c r="E104">
        <v>957.13055478795002</v>
      </c>
      <c r="F104">
        <v>348.17891813314702</v>
      </c>
      <c r="G104">
        <v>7.1889405088364704</v>
      </c>
      <c r="H104">
        <v>25327.2404720872</v>
      </c>
      <c r="I104" s="1">
        <v>6.5421102633221301E-6</v>
      </c>
      <c r="J104" s="1">
        <v>6.7271628013593798E-6</v>
      </c>
      <c r="L104">
        <v>185</v>
      </c>
      <c r="M104">
        <f>G104*-1</f>
        <v>-7.1889405088364704</v>
      </c>
      <c r="N104">
        <v>56</v>
      </c>
      <c r="O104" t="s">
        <v>111</v>
      </c>
      <c r="P104" s="11" t="s">
        <v>682</v>
      </c>
      <c r="Q104" s="5" t="s">
        <v>682</v>
      </c>
      <c r="R104" t="s">
        <v>303</v>
      </c>
      <c r="S104" t="s">
        <v>683</v>
      </c>
      <c r="T104" t="s">
        <v>683</v>
      </c>
      <c r="U104" t="s">
        <v>260</v>
      </c>
      <c r="V104" s="4" t="s">
        <v>683</v>
      </c>
      <c r="W104">
        <v>6647</v>
      </c>
      <c r="X104" s="6" t="s">
        <v>262</v>
      </c>
      <c r="Y104" t="s">
        <v>684</v>
      </c>
    </row>
    <row r="105" spans="1:25" x14ac:dyDescent="0.2">
      <c r="A105">
        <v>105</v>
      </c>
      <c r="B105" t="s">
        <v>112</v>
      </c>
      <c r="C105">
        <v>928.95248383453895</v>
      </c>
      <c r="D105">
        <v>0.97677258646743803</v>
      </c>
      <c r="E105">
        <v>990.05022460857504</v>
      </c>
      <c r="F105">
        <v>408.29212411084399</v>
      </c>
      <c r="G105">
        <v>6.5770576899516202</v>
      </c>
      <c r="H105">
        <v>41700.121109813197</v>
      </c>
      <c r="I105" t="s">
        <v>9</v>
      </c>
      <c r="J105" t="s">
        <v>9</v>
      </c>
      <c r="L105">
        <v>174</v>
      </c>
      <c r="M105">
        <f>G105*-1</f>
        <v>-6.5770576899516202</v>
      </c>
      <c r="N105">
        <v>67</v>
      </c>
      <c r="O105" t="s">
        <v>112</v>
      </c>
      <c r="P105" s="11" t="s">
        <v>367</v>
      </c>
      <c r="Q105" s="5" t="s">
        <v>367</v>
      </c>
      <c r="R105" t="s">
        <v>368</v>
      </c>
      <c r="S105" t="s">
        <v>349</v>
      </c>
      <c r="T105" t="s">
        <v>349</v>
      </c>
      <c r="U105" t="s">
        <v>260</v>
      </c>
      <c r="V105" s="4" t="s">
        <v>349</v>
      </c>
      <c r="W105">
        <v>1584</v>
      </c>
      <c r="X105" s="6" t="s">
        <v>262</v>
      </c>
      <c r="Y105" t="s">
        <v>369</v>
      </c>
    </row>
    <row r="106" spans="1:25" ht="16" customHeight="1" x14ac:dyDescent="0.2">
      <c r="A106">
        <v>106</v>
      </c>
      <c r="B106" t="s">
        <v>113</v>
      </c>
      <c r="C106">
        <v>910.330006616015</v>
      </c>
      <c r="D106">
        <v>0.94928575871555099</v>
      </c>
      <c r="E106">
        <v>989.08072201073503</v>
      </c>
      <c r="F106">
        <v>412.44575899890401</v>
      </c>
      <c r="G106">
        <v>8.6507876069538998</v>
      </c>
      <c r="H106">
        <v>43348.008696240402</v>
      </c>
      <c r="I106" t="s">
        <v>9</v>
      </c>
      <c r="J106" t="s">
        <v>9</v>
      </c>
      <c r="L106">
        <v>202</v>
      </c>
      <c r="M106">
        <f>G106*-1</f>
        <v>-8.6507876069538998</v>
      </c>
      <c r="N106">
        <v>39</v>
      </c>
      <c r="O106" t="s">
        <v>113</v>
      </c>
      <c r="P106" s="11" t="s">
        <v>113</v>
      </c>
      <c r="Q106" s="5" t="s">
        <v>113</v>
      </c>
      <c r="R106" t="s">
        <v>258</v>
      </c>
      <c r="S106" t="s">
        <v>534</v>
      </c>
      <c r="T106" t="s">
        <v>534</v>
      </c>
      <c r="U106" t="s">
        <v>260</v>
      </c>
      <c r="V106" s="4" t="s">
        <v>535</v>
      </c>
      <c r="W106">
        <v>11343</v>
      </c>
      <c r="X106" s="6" t="s">
        <v>262</v>
      </c>
      <c r="Y106" t="s">
        <v>536</v>
      </c>
    </row>
    <row r="107" spans="1:25" x14ac:dyDescent="0.2">
      <c r="A107">
        <v>107</v>
      </c>
      <c r="B107" s="5" t="s">
        <v>114</v>
      </c>
      <c r="C107">
        <v>920.80473570249399</v>
      </c>
      <c r="D107">
        <v>0.62458852347734395</v>
      </c>
      <c r="E107">
        <v>989.20086225659099</v>
      </c>
      <c r="F107">
        <v>412.625202391703</v>
      </c>
      <c r="G107">
        <v>7.4278643345504403</v>
      </c>
      <c r="H107">
        <v>65963.526126680503</v>
      </c>
      <c r="I107" t="s">
        <v>9</v>
      </c>
      <c r="J107" t="s">
        <v>9</v>
      </c>
      <c r="L107">
        <v>188</v>
      </c>
      <c r="M107">
        <f>G107*-1</f>
        <v>-7.4278643345504403</v>
      </c>
      <c r="N107">
        <v>53</v>
      </c>
      <c r="O107" s="5" t="s">
        <v>114</v>
      </c>
      <c r="P107" s="11" t="s">
        <v>114</v>
      </c>
      <c r="Q107" s="5" t="s">
        <v>482</v>
      </c>
      <c r="R107" t="s">
        <v>414</v>
      </c>
      <c r="S107" t="s">
        <v>478</v>
      </c>
      <c r="T107" t="s">
        <v>478</v>
      </c>
      <c r="U107" t="s">
        <v>260</v>
      </c>
      <c r="V107" s="4" t="s">
        <v>479</v>
      </c>
      <c r="W107">
        <v>3098</v>
      </c>
      <c r="X107" s="6" t="s">
        <v>262</v>
      </c>
      <c r="Y107" t="s">
        <v>480</v>
      </c>
    </row>
    <row r="108" spans="1:25" x14ac:dyDescent="0.2">
      <c r="A108">
        <v>108</v>
      </c>
      <c r="B108" t="s">
        <v>115</v>
      </c>
      <c r="C108">
        <v>922.72213183941403</v>
      </c>
      <c r="D108">
        <v>0.75596950981641298</v>
      </c>
      <c r="E108">
        <v>986.71542578398896</v>
      </c>
      <c r="F108">
        <v>403.64318747904002</v>
      </c>
      <c r="G108">
        <v>6.9352724657211802</v>
      </c>
      <c r="H108">
        <v>53294.1094498725</v>
      </c>
      <c r="I108" t="s">
        <v>9</v>
      </c>
      <c r="J108" t="s">
        <v>9</v>
      </c>
      <c r="L108">
        <v>181</v>
      </c>
      <c r="M108">
        <f>G108*-1</f>
        <v>-6.9352724657211802</v>
      </c>
      <c r="N108">
        <v>60</v>
      </c>
      <c r="O108" t="s">
        <v>115</v>
      </c>
      <c r="P108" s="11" t="s">
        <v>115</v>
      </c>
      <c r="Q108" s="5" t="s">
        <v>115</v>
      </c>
      <c r="R108" t="s">
        <v>308</v>
      </c>
      <c r="S108" t="s">
        <v>644</v>
      </c>
      <c r="T108" t="s">
        <v>644</v>
      </c>
      <c r="U108" t="s">
        <v>260</v>
      </c>
      <c r="X108" s="6" t="s">
        <v>262</v>
      </c>
    </row>
    <row r="109" spans="1:25" x14ac:dyDescent="0.2">
      <c r="A109">
        <v>109</v>
      </c>
      <c r="B109" t="s">
        <v>116</v>
      </c>
      <c r="C109">
        <v>920.42297570871096</v>
      </c>
      <c r="D109">
        <v>1.00349283430562</v>
      </c>
      <c r="E109">
        <v>981.76736834211397</v>
      </c>
      <c r="F109">
        <v>407.78109339506</v>
      </c>
      <c r="G109">
        <v>6.664804579239</v>
      </c>
      <c r="H109">
        <v>40536.173917198699</v>
      </c>
      <c r="I109" t="s">
        <v>9</v>
      </c>
      <c r="J109" t="s">
        <v>9</v>
      </c>
      <c r="L109">
        <v>176</v>
      </c>
      <c r="M109">
        <f>G109*-1</f>
        <v>-6.664804579239</v>
      </c>
      <c r="N109">
        <v>65</v>
      </c>
      <c r="O109" t="s">
        <v>116</v>
      </c>
      <c r="P109" s="11" t="s">
        <v>116</v>
      </c>
      <c r="Q109" s="5" t="s">
        <v>116</v>
      </c>
      <c r="R109" t="s">
        <v>361</v>
      </c>
      <c r="S109" t="s">
        <v>511</v>
      </c>
      <c r="T109" t="s">
        <v>507</v>
      </c>
      <c r="U109" t="s">
        <v>260</v>
      </c>
      <c r="V109" s="4" t="s">
        <v>508</v>
      </c>
      <c r="W109">
        <v>3614</v>
      </c>
      <c r="X109" s="6" t="s">
        <v>262</v>
      </c>
      <c r="Y109" t="s">
        <v>509</v>
      </c>
    </row>
    <row r="110" spans="1:25" x14ac:dyDescent="0.2">
      <c r="A110">
        <v>110</v>
      </c>
      <c r="B110" t="s">
        <v>117</v>
      </c>
      <c r="C110">
        <v>901.12343297015502</v>
      </c>
      <c r="D110">
        <v>0.60638113522744297</v>
      </c>
      <c r="E110">
        <v>971.34511533007105</v>
      </c>
      <c r="F110">
        <v>425.25455459315799</v>
      </c>
      <c r="G110">
        <v>7.7926818669515399</v>
      </c>
      <c r="H110">
        <v>70029.911682304097</v>
      </c>
      <c r="I110" t="s">
        <v>9</v>
      </c>
      <c r="J110" t="s">
        <v>9</v>
      </c>
      <c r="L110">
        <v>193</v>
      </c>
      <c r="M110">
        <f>G110*-1</f>
        <v>-7.7926818669515399</v>
      </c>
      <c r="N110">
        <v>48</v>
      </c>
      <c r="O110" t="s">
        <v>117</v>
      </c>
      <c r="P110" s="11" t="s">
        <v>117</v>
      </c>
      <c r="Q110" s="5" t="s">
        <v>117</v>
      </c>
      <c r="R110" t="s">
        <v>368</v>
      </c>
      <c r="S110" t="s">
        <v>379</v>
      </c>
      <c r="T110" t="s">
        <v>379</v>
      </c>
      <c r="U110" t="s">
        <v>260</v>
      </c>
      <c r="V110" s="4" t="s">
        <v>379</v>
      </c>
      <c r="W110">
        <v>1576</v>
      </c>
      <c r="X110" s="6" t="s">
        <v>262</v>
      </c>
      <c r="Y110" t="s">
        <v>380</v>
      </c>
    </row>
    <row r="111" spans="1:25" x14ac:dyDescent="0.2">
      <c r="A111">
        <v>111</v>
      </c>
      <c r="B111" t="s">
        <v>118</v>
      </c>
      <c r="C111">
        <v>924.92318735117306</v>
      </c>
      <c r="D111">
        <v>0.70603500740138303</v>
      </c>
      <c r="E111">
        <v>987.49649812056396</v>
      </c>
      <c r="F111">
        <v>413.46532156253801</v>
      </c>
      <c r="G111">
        <v>6.7652440359497303</v>
      </c>
      <c r="H111">
        <v>58461.589330298099</v>
      </c>
      <c r="I111" t="s">
        <v>9</v>
      </c>
      <c r="J111" t="s">
        <v>9</v>
      </c>
      <c r="L111">
        <v>178</v>
      </c>
      <c r="M111">
        <f>G111*-1</f>
        <v>-6.7652440359497303</v>
      </c>
      <c r="N111">
        <v>63</v>
      </c>
      <c r="O111" t="s">
        <v>118</v>
      </c>
      <c r="P111" s="11" t="s">
        <v>118</v>
      </c>
      <c r="Q111" s="5" t="s">
        <v>118</v>
      </c>
      <c r="R111" t="s">
        <v>308</v>
      </c>
      <c r="S111" t="s">
        <v>703</v>
      </c>
      <c r="T111" t="s">
        <v>703</v>
      </c>
      <c r="U111" t="s">
        <v>260</v>
      </c>
      <c r="V111" s="4" t="s">
        <v>336</v>
      </c>
      <c r="W111">
        <v>6389</v>
      </c>
      <c r="X111" s="6" t="s">
        <v>262</v>
      </c>
      <c r="Y111" t="s">
        <v>337</v>
      </c>
    </row>
    <row r="112" spans="1:25" ht="16" customHeight="1" x14ac:dyDescent="0.2">
      <c r="A112">
        <v>112</v>
      </c>
      <c r="B112" t="s">
        <v>119</v>
      </c>
      <c r="C112">
        <v>889.52171200298403</v>
      </c>
      <c r="D112">
        <v>0.97681580231671605</v>
      </c>
      <c r="E112">
        <v>967.82098343631105</v>
      </c>
      <c r="F112">
        <v>418.02629783800302</v>
      </c>
      <c r="G112">
        <v>8.8024013778164107</v>
      </c>
      <c r="H112">
        <v>42694.792717989403</v>
      </c>
      <c r="I112" t="s">
        <v>9</v>
      </c>
      <c r="J112" t="s">
        <v>9</v>
      </c>
      <c r="L112">
        <v>204</v>
      </c>
      <c r="M112">
        <f>G112*-1</f>
        <v>-8.8024013778164107</v>
      </c>
      <c r="N112">
        <v>37</v>
      </c>
      <c r="O112" t="s">
        <v>119</v>
      </c>
      <c r="P112" s="11" t="s">
        <v>473</v>
      </c>
      <c r="Q112" s="5" t="s">
        <v>473</v>
      </c>
      <c r="R112" t="s">
        <v>299</v>
      </c>
      <c r="S112" t="s">
        <v>474</v>
      </c>
      <c r="T112" t="s">
        <v>474</v>
      </c>
      <c r="U112" t="s">
        <v>260</v>
      </c>
      <c r="V112" s="4" t="s">
        <v>475</v>
      </c>
      <c r="W112">
        <v>1128</v>
      </c>
      <c r="X112" s="6" t="s">
        <v>262</v>
      </c>
      <c r="Y112" t="s">
        <v>476</v>
      </c>
    </row>
    <row r="113" spans="1:25" x14ac:dyDescent="0.2">
      <c r="A113">
        <v>113</v>
      </c>
      <c r="B113" t="s">
        <v>120</v>
      </c>
      <c r="C113">
        <v>916.01136926055403</v>
      </c>
      <c r="D113">
        <v>0.96489515338722098</v>
      </c>
      <c r="E113">
        <v>995.63839360624695</v>
      </c>
      <c r="F113">
        <v>378.56486247676202</v>
      </c>
      <c r="G113">
        <v>8.6927986941877702</v>
      </c>
      <c r="H113">
        <v>39133.782152167201</v>
      </c>
      <c r="I113" t="s">
        <v>9</v>
      </c>
      <c r="J113" t="s">
        <v>9</v>
      </c>
      <c r="L113">
        <v>203</v>
      </c>
      <c r="M113">
        <f>G113*-1</f>
        <v>-8.6927986941877702</v>
      </c>
      <c r="N113">
        <v>38</v>
      </c>
      <c r="O113" t="s">
        <v>120</v>
      </c>
      <c r="P113" t="s">
        <v>120</v>
      </c>
      <c r="Q113" s="5" t="s">
        <v>569</v>
      </c>
      <c r="R113" t="s">
        <v>303</v>
      </c>
      <c r="S113" t="s">
        <v>570</v>
      </c>
      <c r="T113" t="s">
        <v>570</v>
      </c>
      <c r="U113" t="s">
        <v>260</v>
      </c>
      <c r="V113" s="4" t="s">
        <v>570</v>
      </c>
      <c r="W113">
        <v>27035</v>
      </c>
      <c r="X113" s="6" t="s">
        <v>262</v>
      </c>
      <c r="Y113" t="s">
        <v>571</v>
      </c>
    </row>
    <row r="114" spans="1:25" x14ac:dyDescent="0.2">
      <c r="A114">
        <v>114</v>
      </c>
      <c r="B114" t="s">
        <v>121</v>
      </c>
      <c r="C114">
        <v>926.10280115839896</v>
      </c>
      <c r="D114">
        <v>0.60540501889093801</v>
      </c>
      <c r="E114">
        <v>1005.73324401634</v>
      </c>
      <c r="F114">
        <v>316.663929921386</v>
      </c>
      <c r="G114">
        <v>8.5984453084836101</v>
      </c>
      <c r="H114">
        <v>52206.128961648297</v>
      </c>
      <c r="I114" t="s">
        <v>9</v>
      </c>
      <c r="J114" t="s">
        <v>9</v>
      </c>
      <c r="L114">
        <v>199</v>
      </c>
      <c r="M114">
        <f>G114*-1</f>
        <v>-8.5984453084836101</v>
      </c>
      <c r="N114">
        <v>42</v>
      </c>
      <c r="O114" t="s">
        <v>121</v>
      </c>
      <c r="P114" s="11" t="s">
        <v>121</v>
      </c>
      <c r="Q114" s="5" t="s">
        <v>121</v>
      </c>
      <c r="R114" t="s">
        <v>445</v>
      </c>
      <c r="S114" t="s">
        <v>537</v>
      </c>
      <c r="T114" t="s">
        <v>537</v>
      </c>
      <c r="U114" t="s">
        <v>260</v>
      </c>
      <c r="V114" s="4" t="s">
        <v>538</v>
      </c>
      <c r="W114">
        <v>11253</v>
      </c>
      <c r="X114" s="6" t="s">
        <v>262</v>
      </c>
      <c r="Y114" t="s">
        <v>539</v>
      </c>
    </row>
    <row r="115" spans="1:25" x14ac:dyDescent="0.2">
      <c r="A115">
        <v>115</v>
      </c>
      <c r="B115" t="s">
        <v>122</v>
      </c>
      <c r="C115">
        <v>921.92515278387395</v>
      </c>
      <c r="D115">
        <v>0.78785721606006698</v>
      </c>
      <c r="E115">
        <v>985.79002708123505</v>
      </c>
      <c r="F115">
        <v>418.153490678536</v>
      </c>
      <c r="G115">
        <v>6.9273383098956103</v>
      </c>
      <c r="H115">
        <v>52974.780830167103</v>
      </c>
      <c r="I115" t="s">
        <v>9</v>
      </c>
      <c r="J115" t="s">
        <v>9</v>
      </c>
      <c r="L115">
        <v>180</v>
      </c>
      <c r="M115">
        <f>G115*-1</f>
        <v>-6.9273383098956103</v>
      </c>
      <c r="N115">
        <v>61</v>
      </c>
      <c r="O115" t="s">
        <v>122</v>
      </c>
      <c r="P115" s="11" t="s">
        <v>122</v>
      </c>
      <c r="Q115" s="5" t="s">
        <v>122</v>
      </c>
      <c r="R115" t="s">
        <v>299</v>
      </c>
      <c r="S115" t="s">
        <v>348</v>
      </c>
      <c r="T115" t="s">
        <v>348</v>
      </c>
      <c r="U115" t="s">
        <v>260</v>
      </c>
      <c r="V115" s="4" t="s">
        <v>349</v>
      </c>
      <c r="W115">
        <v>1584</v>
      </c>
      <c r="X115" s="6" t="s">
        <v>262</v>
      </c>
      <c r="Y115" t="s">
        <v>350</v>
      </c>
    </row>
    <row r="116" spans="1:25" x14ac:dyDescent="0.2">
      <c r="A116">
        <v>116</v>
      </c>
      <c r="B116" t="s">
        <v>123</v>
      </c>
      <c r="C116">
        <v>919.06590672551795</v>
      </c>
      <c r="D116">
        <v>1.00480836597865</v>
      </c>
      <c r="E116">
        <v>939.14870985201605</v>
      </c>
      <c r="F116">
        <v>426.49105972720997</v>
      </c>
      <c r="G116">
        <v>2.1851319888526302</v>
      </c>
      <c r="H116">
        <v>42345.014807556799</v>
      </c>
      <c r="I116" t="s">
        <v>9</v>
      </c>
      <c r="J116" t="s">
        <v>9</v>
      </c>
      <c r="L116">
        <v>143</v>
      </c>
      <c r="M116">
        <f>G116*-1</f>
        <v>-2.1851319888526302</v>
      </c>
      <c r="N116">
        <v>98</v>
      </c>
      <c r="O116" t="s">
        <v>123</v>
      </c>
      <c r="P116" s="11" t="s">
        <v>532</v>
      </c>
      <c r="Q116" s="5" t="s">
        <v>532</v>
      </c>
      <c r="R116" t="s">
        <v>406</v>
      </c>
      <c r="S116" t="s">
        <v>533</v>
      </c>
      <c r="T116" t="s">
        <v>533</v>
      </c>
      <c r="U116" t="s">
        <v>260</v>
      </c>
      <c r="V116" s="4" t="s">
        <v>382</v>
      </c>
      <c r="X116" s="6" t="s">
        <v>262</v>
      </c>
    </row>
    <row r="117" spans="1:25" x14ac:dyDescent="0.2">
      <c r="A117">
        <v>117</v>
      </c>
      <c r="B117" t="s">
        <v>124</v>
      </c>
      <c r="C117">
        <v>640.00730517749298</v>
      </c>
      <c r="D117">
        <v>1.3041913247721499</v>
      </c>
      <c r="E117">
        <v>646.32978122913801</v>
      </c>
      <c r="F117">
        <v>295.64055981136403</v>
      </c>
      <c r="G117">
        <v>0.98787560712164302</v>
      </c>
      <c r="H117">
        <v>22568.4961167806</v>
      </c>
      <c r="I117" s="1">
        <v>3.5294252468281902E-7</v>
      </c>
      <c r="J117" s="1">
        <v>2.5409919587655101E-7</v>
      </c>
      <c r="L117">
        <v>133</v>
      </c>
      <c r="M117">
        <f>G117*-1</f>
        <v>-0.98787560712164302</v>
      </c>
      <c r="N117">
        <v>108</v>
      </c>
      <c r="O117" t="s">
        <v>124</v>
      </c>
      <c r="P117" t="s">
        <v>124</v>
      </c>
      <c r="Q117" s="5" t="s">
        <v>594</v>
      </c>
      <c r="R117" t="s">
        <v>406</v>
      </c>
      <c r="S117" t="s">
        <v>595</v>
      </c>
      <c r="T117" t="s">
        <v>595</v>
      </c>
      <c r="U117" t="s">
        <v>260</v>
      </c>
      <c r="V117" s="4" t="s">
        <v>592</v>
      </c>
      <c r="W117">
        <v>7415</v>
      </c>
      <c r="X117" s="6" t="s">
        <v>262</v>
      </c>
      <c r="Y117" t="s">
        <v>593</v>
      </c>
    </row>
    <row r="118" spans="1:25" x14ac:dyDescent="0.2">
      <c r="A118">
        <v>118</v>
      </c>
      <c r="B118" t="s">
        <v>125</v>
      </c>
      <c r="C118">
        <v>906.68691309235305</v>
      </c>
      <c r="D118">
        <v>1.01012062621075</v>
      </c>
      <c r="E118">
        <v>970.13740195102196</v>
      </c>
      <c r="F118">
        <v>419.59361866851702</v>
      </c>
      <c r="G118">
        <v>6.9980594119600399</v>
      </c>
      <c r="H118">
        <v>41438.9615636831</v>
      </c>
      <c r="I118" t="s">
        <v>9</v>
      </c>
      <c r="J118" t="s">
        <v>9</v>
      </c>
      <c r="L118">
        <v>182</v>
      </c>
      <c r="M118">
        <f>G118*-1</f>
        <v>-6.9980594119600399</v>
      </c>
      <c r="N118">
        <v>59</v>
      </c>
      <c r="O118" t="s">
        <v>125</v>
      </c>
      <c r="P118" s="11" t="s">
        <v>579</v>
      </c>
      <c r="Q118" s="5" t="s">
        <v>579</v>
      </c>
      <c r="R118" t="s">
        <v>289</v>
      </c>
      <c r="S118" t="s">
        <v>580</v>
      </c>
      <c r="T118" t="s">
        <v>580</v>
      </c>
      <c r="U118" t="s">
        <v>260</v>
      </c>
      <c r="V118" s="4" t="s">
        <v>580</v>
      </c>
      <c r="W118">
        <v>4942</v>
      </c>
      <c r="X118" s="6" t="s">
        <v>262</v>
      </c>
      <c r="Y118" t="s">
        <v>581</v>
      </c>
    </row>
    <row r="119" spans="1:25" x14ac:dyDescent="0.2">
      <c r="A119">
        <v>119</v>
      </c>
      <c r="B119" t="s">
        <v>126</v>
      </c>
      <c r="C119">
        <v>909.42222289010999</v>
      </c>
      <c r="D119">
        <v>0.92279535263120405</v>
      </c>
      <c r="E119">
        <v>983.76978719656802</v>
      </c>
      <c r="F119">
        <v>409.989813651357</v>
      </c>
      <c r="G119">
        <v>8.1752526422967993</v>
      </c>
      <c r="H119">
        <v>44329.115565259002</v>
      </c>
      <c r="I119" t="s">
        <v>9</v>
      </c>
      <c r="J119" t="s">
        <v>9</v>
      </c>
      <c r="L119">
        <v>194</v>
      </c>
      <c r="M119">
        <f>G119*-1</f>
        <v>-8.1752526422967993</v>
      </c>
      <c r="N119">
        <v>47</v>
      </c>
      <c r="O119" t="s">
        <v>126</v>
      </c>
      <c r="P119" s="11" t="s">
        <v>126</v>
      </c>
      <c r="Q119" s="5" t="s">
        <v>126</v>
      </c>
      <c r="R119" t="s">
        <v>445</v>
      </c>
      <c r="S119" t="s">
        <v>446</v>
      </c>
      <c r="T119" t="s">
        <v>446</v>
      </c>
      <c r="U119" t="s">
        <v>260</v>
      </c>
      <c r="V119" s="4" t="s">
        <v>447</v>
      </c>
      <c r="W119">
        <v>8972</v>
      </c>
      <c r="X119" s="6" t="s">
        <v>262</v>
      </c>
      <c r="Y119" t="s">
        <v>448</v>
      </c>
    </row>
    <row r="120" spans="1:25" x14ac:dyDescent="0.2">
      <c r="A120">
        <v>120</v>
      </c>
      <c r="B120" t="s">
        <v>127</v>
      </c>
      <c r="C120">
        <v>927.12249185888697</v>
      </c>
      <c r="D120">
        <v>4.0214510208991099</v>
      </c>
      <c r="E120">
        <v>953.07254226954399</v>
      </c>
      <c r="F120">
        <v>425.98863619745202</v>
      </c>
      <c r="G120">
        <v>2.79898833633372</v>
      </c>
      <c r="H120">
        <v>10492.908728308001</v>
      </c>
      <c r="I120" t="s">
        <v>9</v>
      </c>
      <c r="J120" t="s">
        <v>9</v>
      </c>
      <c r="L120">
        <v>149</v>
      </c>
      <c r="M120">
        <f>G120*-1</f>
        <v>-2.79898833633372</v>
      </c>
      <c r="N120">
        <v>92</v>
      </c>
      <c r="O120" t="s">
        <v>127</v>
      </c>
      <c r="P120" s="11" t="s">
        <v>127</v>
      </c>
      <c r="Q120" s="5" t="s">
        <v>127</v>
      </c>
      <c r="R120" t="s">
        <v>303</v>
      </c>
      <c r="S120" t="s">
        <v>729</v>
      </c>
      <c r="T120" t="s">
        <v>729</v>
      </c>
      <c r="U120" t="s">
        <v>260</v>
      </c>
      <c r="V120" s="4" t="s">
        <v>382</v>
      </c>
      <c r="X120" s="6" t="s">
        <v>262</v>
      </c>
    </row>
    <row r="121" spans="1:25" x14ac:dyDescent="0.2">
      <c r="A121">
        <v>121</v>
      </c>
      <c r="B121" t="s">
        <v>128</v>
      </c>
      <c r="C121">
        <v>920.77426739592704</v>
      </c>
      <c r="D121">
        <v>0.93128693644831095</v>
      </c>
      <c r="E121">
        <v>959.22848654622805</v>
      </c>
      <c r="F121">
        <v>420.97277412351002</v>
      </c>
      <c r="G121">
        <v>4.17629168319991</v>
      </c>
      <c r="H121">
        <v>45103.337193689396</v>
      </c>
      <c r="I121" t="s">
        <v>9</v>
      </c>
      <c r="J121" t="s">
        <v>9</v>
      </c>
      <c r="L121">
        <v>161</v>
      </c>
      <c r="M121">
        <f>G121*-1</f>
        <v>-4.17629168319991</v>
      </c>
      <c r="N121">
        <v>80</v>
      </c>
      <c r="O121" t="s">
        <v>128</v>
      </c>
      <c r="P121" t="s">
        <v>128</v>
      </c>
      <c r="Q121" s="5" t="s">
        <v>498</v>
      </c>
      <c r="R121" t="s">
        <v>494</v>
      </c>
      <c r="S121" t="s">
        <v>495</v>
      </c>
      <c r="T121" t="s">
        <v>495</v>
      </c>
      <c r="U121" t="s">
        <v>260</v>
      </c>
      <c r="V121" s="4" t="s">
        <v>496</v>
      </c>
      <c r="W121">
        <v>3417</v>
      </c>
      <c r="X121" s="6" t="s">
        <v>262</v>
      </c>
      <c r="Y121" t="s">
        <v>497</v>
      </c>
    </row>
    <row r="122" spans="1:25" ht="14" customHeight="1" x14ac:dyDescent="0.2">
      <c r="A122">
        <v>122</v>
      </c>
      <c r="B122" t="s">
        <v>129</v>
      </c>
      <c r="C122">
        <v>525.20565928862595</v>
      </c>
      <c r="D122">
        <v>124.030459661517</v>
      </c>
      <c r="E122">
        <v>433.416814408162</v>
      </c>
      <c r="F122">
        <v>602.42611174465299</v>
      </c>
      <c r="G122">
        <v>-17.476743301812199</v>
      </c>
      <c r="H122">
        <v>385.70819892846799</v>
      </c>
      <c r="I122" s="1">
        <v>1.2070506492417601E-7</v>
      </c>
      <c r="J122" s="1">
        <v>7.9594160666261494E-8</v>
      </c>
      <c r="L122">
        <v>79</v>
      </c>
      <c r="M122">
        <f>G122*-1</f>
        <v>17.476743301812199</v>
      </c>
      <c r="N122">
        <v>162</v>
      </c>
      <c r="O122" t="s">
        <v>129</v>
      </c>
      <c r="P122" s="12" t="s">
        <v>512</v>
      </c>
      <c r="Q122" s="9" t="s">
        <v>512</v>
      </c>
      <c r="R122" s="8" t="s">
        <v>361</v>
      </c>
      <c r="S122" s="8" t="s">
        <v>511</v>
      </c>
      <c r="T122" s="8" t="s">
        <v>507</v>
      </c>
      <c r="U122" s="8" t="s">
        <v>364</v>
      </c>
      <c r="V122" s="10" t="s">
        <v>508</v>
      </c>
      <c r="W122" s="8">
        <v>3614</v>
      </c>
      <c r="X122" s="8" t="s">
        <v>262</v>
      </c>
      <c r="Y122" s="8" t="s">
        <v>509</v>
      </c>
    </row>
    <row r="123" spans="1:25" x14ac:dyDescent="0.2">
      <c r="A123">
        <v>123</v>
      </c>
      <c r="B123" t="s">
        <v>130</v>
      </c>
      <c r="C123">
        <v>922.211496539574</v>
      </c>
      <c r="D123">
        <v>11.0021148711077</v>
      </c>
      <c r="E123">
        <v>765.27511675141204</v>
      </c>
      <c r="F123">
        <v>705.30337174299905</v>
      </c>
      <c r="G123">
        <v>-17.017395725062698</v>
      </c>
      <c r="H123">
        <v>6310.6163224597503</v>
      </c>
      <c r="I123" t="s">
        <v>9</v>
      </c>
      <c r="J123" t="s">
        <v>9</v>
      </c>
      <c r="L123">
        <v>84</v>
      </c>
      <c r="M123">
        <f>G123*-1</f>
        <v>17.017395725062698</v>
      </c>
      <c r="N123">
        <v>157</v>
      </c>
      <c r="O123" t="s">
        <v>130</v>
      </c>
      <c r="P123" s="11" t="s">
        <v>370</v>
      </c>
      <c r="Q123" s="5" t="s">
        <v>370</v>
      </c>
      <c r="R123" t="s">
        <v>368</v>
      </c>
      <c r="S123" t="s">
        <v>371</v>
      </c>
      <c r="T123" t="s">
        <v>371</v>
      </c>
      <c r="U123" t="s">
        <v>260</v>
      </c>
      <c r="V123" s="4" t="s">
        <v>371</v>
      </c>
      <c r="W123">
        <v>1586</v>
      </c>
      <c r="X123" s="6" t="s">
        <v>262</v>
      </c>
      <c r="Y123" t="s">
        <v>372</v>
      </c>
    </row>
    <row r="124" spans="1:25" x14ac:dyDescent="0.2">
      <c r="A124">
        <v>124</v>
      </c>
      <c r="B124" t="s">
        <v>131</v>
      </c>
      <c r="C124">
        <v>844.02947280513604</v>
      </c>
      <c r="D124">
        <v>26.734893620907901</v>
      </c>
      <c r="E124">
        <v>707.42782388182195</v>
      </c>
      <c r="F124">
        <v>707.748244650522</v>
      </c>
      <c r="G124">
        <v>-16.1844643255546</v>
      </c>
      <c r="H124">
        <v>2547.2828158068</v>
      </c>
      <c r="I124" s="1">
        <v>3.721319466698E-6</v>
      </c>
      <c r="J124" s="1">
        <v>4.4388602658330096E-6</v>
      </c>
      <c r="L124">
        <v>90</v>
      </c>
      <c r="M124">
        <f>G124*-1</f>
        <v>16.1844643255546</v>
      </c>
      <c r="N124">
        <v>151</v>
      </c>
      <c r="O124" t="s">
        <v>131</v>
      </c>
      <c r="P124" s="11" t="s">
        <v>131</v>
      </c>
      <c r="Q124" s="5" t="s">
        <v>131</v>
      </c>
      <c r="R124" t="s">
        <v>303</v>
      </c>
      <c r="S124" t="s">
        <v>729</v>
      </c>
      <c r="T124" t="s">
        <v>729</v>
      </c>
      <c r="U124" t="s">
        <v>260</v>
      </c>
      <c r="X124" s="6" t="s">
        <v>262</v>
      </c>
    </row>
    <row r="125" spans="1:25" ht="17" customHeight="1" x14ac:dyDescent="0.2">
      <c r="A125">
        <v>125</v>
      </c>
      <c r="B125" t="s">
        <v>132</v>
      </c>
      <c r="C125">
        <v>939.67675122279195</v>
      </c>
      <c r="D125">
        <v>6.9532608723417404</v>
      </c>
      <c r="E125">
        <v>823.06950392592103</v>
      </c>
      <c r="F125">
        <v>646.67046563289</v>
      </c>
      <c r="G125">
        <v>-12.409293636894899</v>
      </c>
      <c r="H125">
        <v>9200.2474307440007</v>
      </c>
      <c r="I125" t="s">
        <v>9</v>
      </c>
      <c r="J125" t="s">
        <v>9</v>
      </c>
      <c r="L125">
        <v>110</v>
      </c>
      <c r="M125">
        <f>G125*-1</f>
        <v>12.409293636894899</v>
      </c>
      <c r="N125">
        <v>131</v>
      </c>
      <c r="O125" t="s">
        <v>132</v>
      </c>
      <c r="P125" s="11" t="s">
        <v>333</v>
      </c>
      <c r="Q125" s="5" t="s">
        <v>333</v>
      </c>
      <c r="R125" t="s">
        <v>308</v>
      </c>
      <c r="S125" t="s">
        <v>330</v>
      </c>
      <c r="T125" t="s">
        <v>330</v>
      </c>
      <c r="U125" t="s">
        <v>260</v>
      </c>
      <c r="V125" s="4" t="s">
        <v>331</v>
      </c>
      <c r="W125">
        <v>4719</v>
      </c>
      <c r="X125" s="6" t="s">
        <v>262</v>
      </c>
      <c r="Y125" t="s">
        <v>332</v>
      </c>
    </row>
    <row r="126" spans="1:25" x14ac:dyDescent="0.2">
      <c r="A126">
        <v>126</v>
      </c>
      <c r="B126" t="s">
        <v>133</v>
      </c>
      <c r="C126">
        <v>793.09575404425902</v>
      </c>
      <c r="D126">
        <v>12.579457902937801</v>
      </c>
      <c r="E126">
        <v>655.61087924992898</v>
      </c>
      <c r="F126">
        <v>644.10820002528203</v>
      </c>
      <c r="G126">
        <v>-17.335217606858901</v>
      </c>
      <c r="H126">
        <v>5020.3176241390702</v>
      </c>
      <c r="I126" s="1">
        <v>2.0559343389589001E-6</v>
      </c>
      <c r="J126" s="1">
        <v>1.88209758404937E-6</v>
      </c>
      <c r="L126">
        <v>81</v>
      </c>
      <c r="M126">
        <f>G126*-1</f>
        <v>17.335217606858901</v>
      </c>
      <c r="N126">
        <v>160</v>
      </c>
      <c r="O126" t="s">
        <v>133</v>
      </c>
      <c r="P126" s="11" t="s">
        <v>689</v>
      </c>
      <c r="Q126" s="5" t="s">
        <v>689</v>
      </c>
      <c r="R126" t="s">
        <v>258</v>
      </c>
      <c r="S126" t="s">
        <v>690</v>
      </c>
      <c r="T126" t="s">
        <v>690</v>
      </c>
      <c r="U126" t="s">
        <v>260</v>
      </c>
      <c r="V126" s="4" t="s">
        <v>691</v>
      </c>
      <c r="W126">
        <v>8877</v>
      </c>
      <c r="X126" s="6" t="s">
        <v>262</v>
      </c>
      <c r="Y126" t="s">
        <v>692</v>
      </c>
    </row>
    <row r="127" spans="1:25" x14ac:dyDescent="0.2">
      <c r="A127">
        <v>127</v>
      </c>
      <c r="B127" t="s">
        <v>134</v>
      </c>
      <c r="C127">
        <v>927.966076772723</v>
      </c>
      <c r="D127">
        <v>10.726984354031901</v>
      </c>
      <c r="E127">
        <v>764.48243945310401</v>
      </c>
      <c r="F127">
        <v>706.66690475595396</v>
      </c>
      <c r="G127">
        <v>-17.617415271060501</v>
      </c>
      <c r="H127">
        <v>6487.7499344943399</v>
      </c>
      <c r="I127" t="s">
        <v>9</v>
      </c>
      <c r="J127" t="s">
        <v>9</v>
      </c>
      <c r="L127">
        <v>77</v>
      </c>
      <c r="M127">
        <f>G127*-1</f>
        <v>17.617415271060501</v>
      </c>
      <c r="N127">
        <v>164</v>
      </c>
      <c r="O127" t="s">
        <v>134</v>
      </c>
      <c r="P127" s="11" t="s">
        <v>564</v>
      </c>
      <c r="Q127" s="5" t="s">
        <v>564</v>
      </c>
      <c r="R127" t="s">
        <v>303</v>
      </c>
      <c r="S127" t="s">
        <v>565</v>
      </c>
      <c r="T127" t="s">
        <v>565</v>
      </c>
      <c r="U127" t="s">
        <v>260</v>
      </c>
      <c r="X127" s="6" t="s">
        <v>262</v>
      </c>
    </row>
    <row r="128" spans="1:25" x14ac:dyDescent="0.2">
      <c r="A128">
        <v>128</v>
      </c>
      <c r="B128" t="s">
        <v>135</v>
      </c>
      <c r="C128">
        <v>916.59026484387596</v>
      </c>
      <c r="D128">
        <v>8.3352737823203409</v>
      </c>
      <c r="E128">
        <v>781.55679549662796</v>
      </c>
      <c r="F128">
        <v>670.95269420647696</v>
      </c>
      <c r="G128">
        <v>-14.732151815975101</v>
      </c>
      <c r="H128">
        <v>7949.5579596870803</v>
      </c>
      <c r="I128" t="s">
        <v>9</v>
      </c>
      <c r="J128" t="s">
        <v>9</v>
      </c>
      <c r="L128">
        <v>99</v>
      </c>
      <c r="M128">
        <f>G128*-1</f>
        <v>14.732151815975101</v>
      </c>
      <c r="N128">
        <v>142</v>
      </c>
      <c r="O128" t="s">
        <v>135</v>
      </c>
      <c r="P128" s="11" t="s">
        <v>135</v>
      </c>
      <c r="Q128" s="5" t="s">
        <v>135</v>
      </c>
      <c r="R128" t="s">
        <v>303</v>
      </c>
      <c r="S128" t="s">
        <v>729</v>
      </c>
      <c r="T128" t="s">
        <v>729</v>
      </c>
      <c r="U128" t="s">
        <v>260</v>
      </c>
      <c r="X128" s="6" t="s">
        <v>262</v>
      </c>
    </row>
    <row r="129" spans="1:25" x14ac:dyDescent="0.2">
      <c r="A129">
        <v>129</v>
      </c>
      <c r="B129" t="s">
        <v>136</v>
      </c>
      <c r="C129">
        <v>929.80634721478702</v>
      </c>
      <c r="D129">
        <v>8.4964590214888602</v>
      </c>
      <c r="E129">
        <v>725.40527705251998</v>
      </c>
      <c r="F129">
        <v>721.748341098428</v>
      </c>
      <c r="G129">
        <v>-21.983187227592801</v>
      </c>
      <c r="H129">
        <v>8394.6957229242707</v>
      </c>
      <c r="I129" t="s">
        <v>9</v>
      </c>
      <c r="J129">
        <v>173877.26125094999</v>
      </c>
      <c r="L129">
        <v>57</v>
      </c>
      <c r="M129">
        <f>G129*-1</f>
        <v>21.983187227592801</v>
      </c>
      <c r="N129">
        <v>184</v>
      </c>
      <c r="O129" t="s">
        <v>136</v>
      </c>
      <c r="P129" s="11" t="s">
        <v>517</v>
      </c>
      <c r="Q129" s="5" t="s">
        <v>517</v>
      </c>
      <c r="R129" t="s">
        <v>518</v>
      </c>
      <c r="S129" t="s">
        <v>519</v>
      </c>
      <c r="T129" t="s">
        <v>519</v>
      </c>
      <c r="U129" t="s">
        <v>260</v>
      </c>
      <c r="V129" s="4" t="s">
        <v>520</v>
      </c>
      <c r="W129">
        <v>5468</v>
      </c>
      <c r="X129" s="6" t="s">
        <v>262</v>
      </c>
      <c r="Y129" t="s">
        <v>521</v>
      </c>
    </row>
    <row r="130" spans="1:25" x14ac:dyDescent="0.2">
      <c r="A130">
        <v>130</v>
      </c>
      <c r="B130" t="s">
        <v>137</v>
      </c>
      <c r="C130">
        <v>755.14335367330102</v>
      </c>
      <c r="D130">
        <v>11.2748599243571</v>
      </c>
      <c r="E130">
        <v>588.81410759608104</v>
      </c>
      <c r="F130">
        <v>692.91814764347203</v>
      </c>
      <c r="G130">
        <v>-22.026181554552899</v>
      </c>
      <c r="H130">
        <v>6045.6918515374</v>
      </c>
      <c r="I130" t="s">
        <v>9</v>
      </c>
      <c r="J130" t="s">
        <v>9</v>
      </c>
      <c r="L130">
        <v>56</v>
      </c>
      <c r="M130">
        <f>G130*-1</f>
        <v>22.026181554552899</v>
      </c>
      <c r="N130">
        <v>185</v>
      </c>
      <c r="O130" t="s">
        <v>137</v>
      </c>
      <c r="P130" s="11" t="s">
        <v>316</v>
      </c>
      <c r="Q130" s="5" t="s">
        <v>316</v>
      </c>
      <c r="R130" t="s">
        <v>308</v>
      </c>
      <c r="S130" t="s">
        <v>313</v>
      </c>
      <c r="T130" t="s">
        <v>313</v>
      </c>
      <c r="U130" t="s">
        <v>260</v>
      </c>
      <c r="V130" s="4" t="s">
        <v>314</v>
      </c>
      <c r="W130">
        <v>596</v>
      </c>
      <c r="X130" s="6" t="s">
        <v>262</v>
      </c>
      <c r="Y130" t="s">
        <v>315</v>
      </c>
    </row>
    <row r="131" spans="1:25" x14ac:dyDescent="0.2">
      <c r="A131">
        <v>131</v>
      </c>
      <c r="B131" t="s">
        <v>138</v>
      </c>
      <c r="C131">
        <v>884.89255153377599</v>
      </c>
      <c r="D131">
        <v>19.2832691403142</v>
      </c>
      <c r="E131">
        <v>754.371170987852</v>
      </c>
      <c r="F131">
        <v>703.41981685469398</v>
      </c>
      <c r="G131">
        <v>-14.7499693968147</v>
      </c>
      <c r="H131">
        <v>3547.8245039068702</v>
      </c>
      <c r="I131" s="1">
        <v>6.8346247542767201E-6</v>
      </c>
      <c r="J131" t="s">
        <v>9</v>
      </c>
      <c r="L131">
        <v>98</v>
      </c>
      <c r="M131">
        <f>G131*-1</f>
        <v>14.7499693968147</v>
      </c>
      <c r="N131">
        <v>143</v>
      </c>
      <c r="O131" t="s">
        <v>138</v>
      </c>
      <c r="P131" t="s">
        <v>138</v>
      </c>
      <c r="Q131" s="5" t="s">
        <v>735</v>
      </c>
      <c r="R131" t="s">
        <v>303</v>
      </c>
      <c r="S131" t="s">
        <v>729</v>
      </c>
      <c r="T131" t="s">
        <v>729</v>
      </c>
      <c r="U131" t="s">
        <v>260</v>
      </c>
      <c r="X131" s="6" t="s">
        <v>262</v>
      </c>
    </row>
    <row r="132" spans="1:25" x14ac:dyDescent="0.2">
      <c r="A132">
        <v>132</v>
      </c>
      <c r="B132" t="s">
        <v>139</v>
      </c>
      <c r="C132">
        <v>912.39770247700301</v>
      </c>
      <c r="D132">
        <v>19.7541075506543</v>
      </c>
      <c r="E132">
        <v>738.58762503247601</v>
      </c>
      <c r="F132">
        <v>699.43531576588998</v>
      </c>
      <c r="G132">
        <v>-19.049815335205501</v>
      </c>
      <c r="H132">
        <v>3440.70825003037</v>
      </c>
      <c r="I132" t="s">
        <v>9</v>
      </c>
      <c r="J132" t="s">
        <v>9</v>
      </c>
      <c r="L132">
        <v>69</v>
      </c>
      <c r="M132">
        <f>G132*-1</f>
        <v>19.049815335205501</v>
      </c>
      <c r="N132">
        <v>172</v>
      </c>
      <c r="O132" t="s">
        <v>139</v>
      </c>
      <c r="P132" s="11" t="s">
        <v>598</v>
      </c>
      <c r="Q132" s="5" t="s">
        <v>598</v>
      </c>
      <c r="R132" t="s">
        <v>308</v>
      </c>
      <c r="S132" t="s">
        <v>599</v>
      </c>
      <c r="T132" t="s">
        <v>599</v>
      </c>
      <c r="U132" t="s">
        <v>260</v>
      </c>
      <c r="V132" s="4" t="s">
        <v>600</v>
      </c>
      <c r="W132">
        <v>142</v>
      </c>
      <c r="X132" s="6" t="s">
        <v>262</v>
      </c>
      <c r="Y132" t="s">
        <v>601</v>
      </c>
    </row>
    <row r="133" spans="1:25" ht="16" customHeight="1" x14ac:dyDescent="0.2">
      <c r="A133">
        <v>133</v>
      </c>
      <c r="B133" t="s">
        <v>140</v>
      </c>
      <c r="C133">
        <v>899.47156796786203</v>
      </c>
      <c r="D133">
        <v>10.471415257662199</v>
      </c>
      <c r="E133">
        <v>732.95383193320799</v>
      </c>
      <c r="F133">
        <v>690.64539055727698</v>
      </c>
      <c r="G133">
        <v>-18.5128404237235</v>
      </c>
      <c r="H133">
        <v>6495.5305330090396</v>
      </c>
      <c r="I133" s="1">
        <v>6.4173657734910097E-6</v>
      </c>
      <c r="J133" s="1">
        <v>5.8932932654148399E-6</v>
      </c>
      <c r="L133">
        <v>74</v>
      </c>
      <c r="M133">
        <f>G133*-1</f>
        <v>18.5128404237235</v>
      </c>
      <c r="N133">
        <v>167</v>
      </c>
      <c r="O133" t="s">
        <v>140</v>
      </c>
      <c r="P133" s="11" t="s">
        <v>140</v>
      </c>
      <c r="Q133" s="5" t="s">
        <v>140</v>
      </c>
      <c r="R133" t="s">
        <v>303</v>
      </c>
      <c r="S133" t="s">
        <v>468</v>
      </c>
      <c r="T133" t="s">
        <v>468</v>
      </c>
      <c r="U133" t="s">
        <v>260</v>
      </c>
      <c r="V133" s="4" t="s">
        <v>469</v>
      </c>
      <c r="W133">
        <v>2950</v>
      </c>
      <c r="X133" s="6" t="s">
        <v>262</v>
      </c>
      <c r="Y133" t="s">
        <v>470</v>
      </c>
    </row>
    <row r="134" spans="1:25" x14ac:dyDescent="0.2">
      <c r="A134">
        <v>134</v>
      </c>
      <c r="B134" t="s">
        <v>141</v>
      </c>
      <c r="C134">
        <v>918.48597489959604</v>
      </c>
      <c r="D134">
        <v>12.761398047620901</v>
      </c>
      <c r="E134">
        <v>757.77678744185505</v>
      </c>
      <c r="F134">
        <v>704.49825047694799</v>
      </c>
      <c r="G134">
        <v>-17.497184698471798</v>
      </c>
      <c r="H134">
        <v>5420.5413062739699</v>
      </c>
      <c r="I134" t="s">
        <v>9</v>
      </c>
      <c r="J134" t="s">
        <v>9</v>
      </c>
      <c r="L134">
        <v>78</v>
      </c>
      <c r="M134">
        <f>G134*-1</f>
        <v>17.497184698471798</v>
      </c>
      <c r="N134">
        <v>163</v>
      </c>
      <c r="O134" t="s">
        <v>141</v>
      </c>
      <c r="P134" s="11" t="s">
        <v>141</v>
      </c>
      <c r="Q134" s="5" t="s">
        <v>141</v>
      </c>
      <c r="R134" t="s">
        <v>414</v>
      </c>
      <c r="S134" t="s">
        <v>633</v>
      </c>
      <c r="T134" t="s">
        <v>633</v>
      </c>
      <c r="U134" t="s">
        <v>260</v>
      </c>
      <c r="V134" s="4" t="s">
        <v>634</v>
      </c>
      <c r="W134">
        <v>5315</v>
      </c>
      <c r="X134" s="6" t="s">
        <v>262</v>
      </c>
      <c r="Y134" t="s">
        <v>635</v>
      </c>
    </row>
    <row r="135" spans="1:25" x14ac:dyDescent="0.2">
      <c r="A135">
        <v>135</v>
      </c>
      <c r="B135" t="s">
        <v>142</v>
      </c>
      <c r="C135">
        <v>923.72545459067601</v>
      </c>
      <c r="D135">
        <v>11.448509580645499</v>
      </c>
      <c r="E135">
        <v>767.859279467428</v>
      </c>
      <c r="F135">
        <v>705.64172181500805</v>
      </c>
      <c r="G135">
        <v>-16.873647288665001</v>
      </c>
      <c r="H135">
        <v>6063.6121002854698</v>
      </c>
      <c r="I135" t="s">
        <v>9</v>
      </c>
      <c r="J135" t="s">
        <v>9</v>
      </c>
      <c r="L135">
        <v>86</v>
      </c>
      <c r="M135">
        <f>G135*-1</f>
        <v>16.873647288665001</v>
      </c>
      <c r="N135">
        <v>155</v>
      </c>
      <c r="O135" t="s">
        <v>142</v>
      </c>
      <c r="P135" s="11" t="s">
        <v>142</v>
      </c>
      <c r="Q135" s="5" t="s">
        <v>142</v>
      </c>
      <c r="R135" t="s">
        <v>361</v>
      </c>
      <c r="S135" t="s">
        <v>506</v>
      </c>
      <c r="T135" t="s">
        <v>506</v>
      </c>
      <c r="U135" t="s">
        <v>260</v>
      </c>
      <c r="V135" s="4" t="s">
        <v>650</v>
      </c>
      <c r="W135">
        <v>100</v>
      </c>
      <c r="X135" s="6" t="s">
        <v>262</v>
      </c>
      <c r="Y135" t="s">
        <v>651</v>
      </c>
    </row>
    <row r="136" spans="1:25" ht="15" x14ac:dyDescent="0.2">
      <c r="A136">
        <v>136</v>
      </c>
      <c r="B136" t="s">
        <v>143</v>
      </c>
      <c r="C136">
        <v>915.80681132636903</v>
      </c>
      <c r="D136">
        <v>10.3650411682226</v>
      </c>
      <c r="E136">
        <v>743.055927355417</v>
      </c>
      <c r="F136">
        <v>701.13347050333596</v>
      </c>
      <c r="G136">
        <v>-18.863245155466402</v>
      </c>
      <c r="H136">
        <v>6664.4060368316696</v>
      </c>
      <c r="I136" t="s">
        <v>9</v>
      </c>
      <c r="J136" t="s">
        <v>9</v>
      </c>
      <c r="L136">
        <v>70</v>
      </c>
      <c r="M136">
        <f>G136*-1</f>
        <v>18.863245155466402</v>
      </c>
      <c r="N136">
        <v>171</v>
      </c>
      <c r="O136" t="s">
        <v>143</v>
      </c>
      <c r="P136" s="11" t="s">
        <v>143</v>
      </c>
      <c r="Q136" s="5" t="s">
        <v>143</v>
      </c>
      <c r="R136" t="s">
        <v>258</v>
      </c>
      <c r="S136" t="s">
        <v>643</v>
      </c>
      <c r="T136" t="s">
        <v>643</v>
      </c>
      <c r="U136" t="s">
        <v>260</v>
      </c>
      <c r="V136" s="4" t="s">
        <v>641</v>
      </c>
      <c r="W136">
        <v>5465</v>
      </c>
      <c r="X136" s="6" t="s">
        <v>262</v>
      </c>
      <c r="Y136" t="s">
        <v>642</v>
      </c>
    </row>
    <row r="137" spans="1:25" ht="16" customHeight="1" x14ac:dyDescent="0.2">
      <c r="A137">
        <v>137</v>
      </c>
      <c r="B137" t="s">
        <v>144</v>
      </c>
      <c r="C137">
        <v>947.65987868565298</v>
      </c>
      <c r="D137">
        <v>10.854485616968001</v>
      </c>
      <c r="E137">
        <v>860.16918998183098</v>
      </c>
      <c r="F137">
        <v>726.39551848625297</v>
      </c>
      <c r="G137">
        <v>-9.2322879412354393</v>
      </c>
      <c r="H137">
        <v>6592.1229077012304</v>
      </c>
      <c r="I137" t="s">
        <v>9</v>
      </c>
      <c r="J137" t="s">
        <v>9</v>
      </c>
      <c r="L137">
        <v>118</v>
      </c>
      <c r="M137">
        <f>G137*-1</f>
        <v>9.2322879412354393</v>
      </c>
      <c r="N137">
        <v>123</v>
      </c>
      <c r="O137" t="s">
        <v>144</v>
      </c>
      <c r="P137" s="11" t="s">
        <v>602</v>
      </c>
      <c r="Q137" s="5" t="s">
        <v>602</v>
      </c>
      <c r="R137" t="s">
        <v>308</v>
      </c>
      <c r="S137" t="s">
        <v>603</v>
      </c>
      <c r="T137" t="s">
        <v>603</v>
      </c>
      <c r="U137" t="s">
        <v>260</v>
      </c>
      <c r="V137" s="4" t="s">
        <v>604</v>
      </c>
      <c r="W137">
        <v>706</v>
      </c>
      <c r="X137" s="6" t="s">
        <v>262</v>
      </c>
      <c r="Y137" t="s">
        <v>605</v>
      </c>
    </row>
    <row r="138" spans="1:25" x14ac:dyDescent="0.2">
      <c r="A138">
        <v>138</v>
      </c>
      <c r="B138" t="s">
        <v>145</v>
      </c>
      <c r="C138">
        <v>907.63684471045099</v>
      </c>
      <c r="D138">
        <v>13.644596621083799</v>
      </c>
      <c r="E138">
        <v>753.48392974674903</v>
      </c>
      <c r="F138">
        <v>707.456038975865</v>
      </c>
      <c r="G138">
        <v>-16.9839860360538</v>
      </c>
      <c r="H138">
        <v>5084.88056937276</v>
      </c>
      <c r="I138" t="s">
        <v>9</v>
      </c>
      <c r="J138" t="s">
        <v>9</v>
      </c>
      <c r="L138">
        <v>85</v>
      </c>
      <c r="M138">
        <f>G138*-1</f>
        <v>16.9839860360538</v>
      </c>
      <c r="N138">
        <v>156</v>
      </c>
      <c r="O138" t="s">
        <v>145</v>
      </c>
      <c r="P138" s="11" t="s">
        <v>145</v>
      </c>
      <c r="Q138" s="5" t="s">
        <v>145</v>
      </c>
      <c r="R138" t="s">
        <v>289</v>
      </c>
      <c r="S138" t="s">
        <v>487</v>
      </c>
      <c r="T138" t="s">
        <v>487</v>
      </c>
      <c r="U138" t="s">
        <v>260</v>
      </c>
      <c r="V138" s="4" t="s">
        <v>487</v>
      </c>
      <c r="W138">
        <v>100682260</v>
      </c>
      <c r="X138" s="6" t="s">
        <v>262</v>
      </c>
      <c r="Y138" t="s">
        <v>488</v>
      </c>
    </row>
    <row r="139" spans="1:25" x14ac:dyDescent="0.2">
      <c r="A139">
        <v>139</v>
      </c>
      <c r="B139" t="s">
        <v>146</v>
      </c>
      <c r="C139">
        <v>917.91408800321301</v>
      </c>
      <c r="D139">
        <v>11.59507772321</v>
      </c>
      <c r="E139">
        <v>744.85546280227595</v>
      </c>
      <c r="F139">
        <v>711.84315309658098</v>
      </c>
      <c r="G139">
        <v>-18.853466513124399</v>
      </c>
      <c r="H139">
        <v>6039.1839717613702</v>
      </c>
      <c r="I139" t="s">
        <v>9</v>
      </c>
      <c r="J139" t="s">
        <v>9</v>
      </c>
      <c r="L139">
        <v>71</v>
      </c>
      <c r="M139">
        <f>G139*-1</f>
        <v>18.853466513124399</v>
      </c>
      <c r="N139">
        <v>170</v>
      </c>
      <c r="O139" t="s">
        <v>146</v>
      </c>
      <c r="P139" t="s">
        <v>146</v>
      </c>
      <c r="Q139" s="5" t="s">
        <v>381</v>
      </c>
      <c r="R139" t="s">
        <v>368</v>
      </c>
      <c r="S139" t="s">
        <v>379</v>
      </c>
      <c r="T139" t="s">
        <v>379</v>
      </c>
      <c r="U139" t="s">
        <v>260</v>
      </c>
      <c r="V139" s="4" t="s">
        <v>379</v>
      </c>
      <c r="W139">
        <v>1576</v>
      </c>
      <c r="X139" s="6" t="s">
        <v>262</v>
      </c>
      <c r="Y139" t="s">
        <v>380</v>
      </c>
    </row>
    <row r="140" spans="1:25" ht="15" x14ac:dyDescent="0.2">
      <c r="A140">
        <v>140</v>
      </c>
      <c r="B140" t="s">
        <v>147</v>
      </c>
      <c r="C140">
        <v>13.080195047982899</v>
      </c>
      <c r="D140">
        <v>15.5355097365407</v>
      </c>
      <c r="E140">
        <v>18.183026137341798</v>
      </c>
      <c r="F140">
        <v>85.5555555555556</v>
      </c>
      <c r="G140">
        <v>39.011888359767198</v>
      </c>
      <c r="H140">
        <v>450.70967741935499</v>
      </c>
      <c r="I140" s="1">
        <v>2.4817634483359299E-10</v>
      </c>
      <c r="J140" t="e">
        <f>-Inf</f>
        <v>#NAME?</v>
      </c>
      <c r="L140">
        <v>240</v>
      </c>
      <c r="M140">
        <f>G140*-1</f>
        <v>-39.011888359767198</v>
      </c>
      <c r="N140">
        <v>1</v>
      </c>
      <c r="O140" t="s">
        <v>147</v>
      </c>
      <c r="P140" s="11" t="s">
        <v>307</v>
      </c>
      <c r="Q140" s="5" t="s">
        <v>307</v>
      </c>
      <c r="R140" t="s">
        <v>308</v>
      </c>
      <c r="S140" t="s">
        <v>309</v>
      </c>
      <c r="T140" t="s">
        <v>309</v>
      </c>
      <c r="U140" t="s">
        <v>260</v>
      </c>
      <c r="V140" s="4" t="s">
        <v>310</v>
      </c>
      <c r="W140">
        <v>516</v>
      </c>
      <c r="X140" s="6" t="s">
        <v>262</v>
      </c>
      <c r="Y140" t="s">
        <v>311</v>
      </c>
    </row>
    <row r="141" spans="1:25" ht="17" customHeight="1" x14ac:dyDescent="0.2">
      <c r="A141">
        <v>141</v>
      </c>
      <c r="B141" t="s">
        <v>148</v>
      </c>
      <c r="C141">
        <v>720.80516188253205</v>
      </c>
      <c r="D141">
        <v>121.48907559260699</v>
      </c>
      <c r="E141">
        <v>592.59344958865495</v>
      </c>
      <c r="F141">
        <v>544.43196980394305</v>
      </c>
      <c r="G141">
        <v>-17.787291084185</v>
      </c>
      <c r="H141">
        <v>348.13244906859097</v>
      </c>
      <c r="I141" s="1">
        <v>7.3454282266715505E-7</v>
      </c>
      <c r="J141" s="1">
        <v>5.7028378728049297E-7</v>
      </c>
      <c r="L141">
        <v>76</v>
      </c>
      <c r="M141">
        <f>G141*-1</f>
        <v>17.787291084185</v>
      </c>
      <c r="N141">
        <v>165</v>
      </c>
      <c r="O141" t="s">
        <v>148</v>
      </c>
      <c r="P141" s="11" t="s">
        <v>148</v>
      </c>
      <c r="Q141" s="5" t="s">
        <v>148</v>
      </c>
      <c r="R141" t="s">
        <v>303</v>
      </c>
      <c r="S141" t="s">
        <v>729</v>
      </c>
      <c r="T141" t="s">
        <v>729</v>
      </c>
      <c r="U141" t="s">
        <v>260</v>
      </c>
      <c r="X141" s="6" t="s">
        <v>262</v>
      </c>
    </row>
    <row r="142" spans="1:25" x14ac:dyDescent="0.2">
      <c r="A142">
        <v>142</v>
      </c>
      <c r="B142" t="s">
        <v>149</v>
      </c>
      <c r="C142">
        <v>895.40516044627202</v>
      </c>
      <c r="D142">
        <v>12.713428886631799</v>
      </c>
      <c r="E142">
        <v>740.76003830240495</v>
      </c>
      <c r="F142">
        <v>703.04749161839902</v>
      </c>
      <c r="G142">
        <v>-17.270966147524899</v>
      </c>
      <c r="H142">
        <v>5429.9596819049702</v>
      </c>
      <c r="I142" t="s">
        <v>9</v>
      </c>
      <c r="J142" t="s">
        <v>9</v>
      </c>
      <c r="L142">
        <v>83</v>
      </c>
      <c r="M142">
        <f>G142*-1</f>
        <v>17.270966147524899</v>
      </c>
      <c r="N142">
        <v>158</v>
      </c>
      <c r="O142" t="s">
        <v>149</v>
      </c>
      <c r="P142" s="11" t="s">
        <v>562</v>
      </c>
      <c r="Q142" s="5" t="s">
        <v>562</v>
      </c>
      <c r="R142" t="s">
        <v>299</v>
      </c>
      <c r="S142" t="s">
        <v>563</v>
      </c>
      <c r="T142" t="s">
        <v>563</v>
      </c>
      <c r="U142" t="s">
        <v>260</v>
      </c>
      <c r="X142" s="6" t="s">
        <v>262</v>
      </c>
    </row>
    <row r="143" spans="1:25" x14ac:dyDescent="0.2">
      <c r="A143">
        <v>143</v>
      </c>
      <c r="B143" t="s">
        <v>150</v>
      </c>
      <c r="C143">
        <v>926.35453293541798</v>
      </c>
      <c r="D143">
        <v>10.4739575164787</v>
      </c>
      <c r="E143">
        <v>748.77004679953404</v>
      </c>
      <c r="F143">
        <v>707.69086840818704</v>
      </c>
      <c r="G143">
        <v>-19.1702506785557</v>
      </c>
      <c r="H143">
        <v>6656.6711751004595</v>
      </c>
      <c r="I143" t="s">
        <v>9</v>
      </c>
      <c r="J143" t="s">
        <v>9</v>
      </c>
      <c r="L143">
        <v>68</v>
      </c>
      <c r="M143">
        <f>G143*-1</f>
        <v>19.1702506785557</v>
      </c>
      <c r="N143">
        <v>173</v>
      </c>
      <c r="O143" t="s">
        <v>150</v>
      </c>
      <c r="P143" t="s">
        <v>150</v>
      </c>
      <c r="Q143" s="5" t="s">
        <v>388</v>
      </c>
      <c r="R143" t="s">
        <v>258</v>
      </c>
      <c r="S143" t="s">
        <v>386</v>
      </c>
      <c r="T143" t="s">
        <v>386</v>
      </c>
      <c r="U143" t="s">
        <v>260</v>
      </c>
      <c r="V143" s="4" t="s">
        <v>386</v>
      </c>
      <c r="W143">
        <v>8694</v>
      </c>
      <c r="X143" s="6" t="s">
        <v>262</v>
      </c>
      <c r="Y143" t="s">
        <v>387</v>
      </c>
    </row>
    <row r="144" spans="1:25" x14ac:dyDescent="0.2">
      <c r="A144">
        <v>144</v>
      </c>
      <c r="B144" t="s">
        <v>151</v>
      </c>
      <c r="C144">
        <v>907.16279486383598</v>
      </c>
      <c r="D144">
        <v>8.9028787644640008</v>
      </c>
      <c r="E144">
        <v>712.43737522231004</v>
      </c>
      <c r="F144">
        <v>700.82602418008605</v>
      </c>
      <c r="G144">
        <v>-21.4653225136678</v>
      </c>
      <c r="H144">
        <v>7771.9034901098003</v>
      </c>
      <c r="I144" t="s">
        <v>9</v>
      </c>
      <c r="J144" t="s">
        <v>9</v>
      </c>
      <c r="L144">
        <v>59</v>
      </c>
      <c r="M144">
        <f>G144*-1</f>
        <v>21.4653225136678</v>
      </c>
      <c r="N144">
        <v>182</v>
      </c>
      <c r="O144" t="s">
        <v>151</v>
      </c>
      <c r="P144" s="11" t="s">
        <v>151</v>
      </c>
      <c r="Q144" s="5" t="s">
        <v>151</v>
      </c>
      <c r="R144" t="s">
        <v>258</v>
      </c>
      <c r="S144" t="s">
        <v>529</v>
      </c>
      <c r="T144" t="s">
        <v>529</v>
      </c>
      <c r="U144" t="s">
        <v>260</v>
      </c>
      <c r="V144" s="4" t="s">
        <v>530</v>
      </c>
      <c r="W144">
        <v>5406</v>
      </c>
      <c r="X144" s="6" t="s">
        <v>262</v>
      </c>
      <c r="Y144" t="s">
        <v>531</v>
      </c>
    </row>
    <row r="145" spans="1:25" x14ac:dyDescent="0.2">
      <c r="A145">
        <v>145</v>
      </c>
      <c r="B145" t="s">
        <v>152</v>
      </c>
      <c r="C145">
        <v>897.77976576188303</v>
      </c>
      <c r="D145">
        <v>9.4113010539967199</v>
      </c>
      <c r="E145">
        <v>729.32417353619303</v>
      </c>
      <c r="F145">
        <v>680.16785130508799</v>
      </c>
      <c r="G145">
        <v>-18.763576397016902</v>
      </c>
      <c r="H145">
        <v>7127.1394507801797</v>
      </c>
      <c r="I145" s="1">
        <v>1.13187186549593E-5</v>
      </c>
      <c r="J145" t="s">
        <v>9</v>
      </c>
      <c r="L145">
        <v>73</v>
      </c>
      <c r="M145">
        <f>G145*-1</f>
        <v>18.763576397016902</v>
      </c>
      <c r="N145">
        <v>168</v>
      </c>
      <c r="O145" t="s">
        <v>152</v>
      </c>
      <c r="P145" s="11" t="s">
        <v>660</v>
      </c>
      <c r="Q145" s="5" t="s">
        <v>660</v>
      </c>
      <c r="R145" t="s">
        <v>258</v>
      </c>
      <c r="S145" t="s">
        <v>661</v>
      </c>
      <c r="T145" t="s">
        <v>661</v>
      </c>
      <c r="U145" t="s">
        <v>260</v>
      </c>
      <c r="V145" s="4" t="s">
        <v>662</v>
      </c>
      <c r="W145">
        <v>6319</v>
      </c>
      <c r="X145" s="6" t="s">
        <v>262</v>
      </c>
      <c r="Y145" t="s">
        <v>663</v>
      </c>
    </row>
    <row r="146" spans="1:25" x14ac:dyDescent="0.2">
      <c r="A146">
        <v>146</v>
      </c>
      <c r="B146" t="s">
        <v>153</v>
      </c>
      <c r="C146">
        <v>921.53718850132304</v>
      </c>
      <c r="D146">
        <v>15.716454273278901</v>
      </c>
      <c r="E146">
        <v>618.39297762414799</v>
      </c>
      <c r="F146">
        <v>750.21235339962698</v>
      </c>
      <c r="G146">
        <v>-32.895494035370596</v>
      </c>
      <c r="H146">
        <v>4673.4198843764398</v>
      </c>
      <c r="I146" t="s">
        <v>9</v>
      </c>
      <c r="J146" t="s">
        <v>9</v>
      </c>
      <c r="L146">
        <v>14</v>
      </c>
      <c r="M146">
        <f>G146*-1</f>
        <v>32.895494035370596</v>
      </c>
      <c r="N146">
        <v>227</v>
      </c>
      <c r="O146" t="s">
        <v>153</v>
      </c>
      <c r="P146" s="11" t="s">
        <v>483</v>
      </c>
      <c r="Q146" s="5" t="s">
        <v>483</v>
      </c>
      <c r="R146" t="s">
        <v>258</v>
      </c>
      <c r="S146" t="s">
        <v>484</v>
      </c>
      <c r="T146" t="s">
        <v>484</v>
      </c>
      <c r="U146" t="s">
        <v>260</v>
      </c>
      <c r="V146" s="4" t="s">
        <v>484</v>
      </c>
      <c r="W146">
        <v>3156</v>
      </c>
      <c r="X146" s="6" t="s">
        <v>262</v>
      </c>
      <c r="Y146" t="s">
        <v>485</v>
      </c>
    </row>
    <row r="147" spans="1:25" ht="16" customHeight="1" x14ac:dyDescent="0.2">
      <c r="A147">
        <v>147</v>
      </c>
      <c r="B147" t="s">
        <v>154</v>
      </c>
      <c r="C147">
        <v>811.24587276012596</v>
      </c>
      <c r="D147">
        <v>14.8343443569582</v>
      </c>
      <c r="E147">
        <v>729.71975969022401</v>
      </c>
      <c r="F147">
        <v>303.0477408584</v>
      </c>
      <c r="G147">
        <v>-10.049494956753801</v>
      </c>
      <c r="H147">
        <v>1942.8792373034801</v>
      </c>
      <c r="I147" s="1">
        <v>7.6448395747400301E-7</v>
      </c>
      <c r="J147" s="1">
        <v>7.6662370726711398E-7</v>
      </c>
      <c r="L147">
        <v>117</v>
      </c>
      <c r="M147">
        <f>G147*-1</f>
        <v>10.049494956753801</v>
      </c>
      <c r="N147">
        <v>124</v>
      </c>
      <c r="O147" t="s">
        <v>154</v>
      </c>
      <c r="P147" s="11" t="s">
        <v>154</v>
      </c>
      <c r="Q147" s="5" t="s">
        <v>154</v>
      </c>
      <c r="R147" t="s">
        <v>308</v>
      </c>
      <c r="S147" t="s">
        <v>330</v>
      </c>
      <c r="T147" t="s">
        <v>330</v>
      </c>
      <c r="U147" t="s">
        <v>260</v>
      </c>
      <c r="V147" s="4" t="s">
        <v>331</v>
      </c>
      <c r="W147">
        <v>4719</v>
      </c>
      <c r="X147" s="6" t="s">
        <v>262</v>
      </c>
      <c r="Y147" t="s">
        <v>332</v>
      </c>
    </row>
    <row r="148" spans="1:25" x14ac:dyDescent="0.2">
      <c r="A148">
        <v>148</v>
      </c>
      <c r="B148" t="s">
        <v>155</v>
      </c>
      <c r="C148">
        <v>917.94814204414797</v>
      </c>
      <c r="D148">
        <v>10.3817571058759</v>
      </c>
      <c r="E148">
        <v>614.21549984458795</v>
      </c>
      <c r="F148">
        <v>752.83411218045899</v>
      </c>
      <c r="G148">
        <v>-33.088213624267198</v>
      </c>
      <c r="H148">
        <v>7151.5095903598803</v>
      </c>
      <c r="I148" t="s">
        <v>9</v>
      </c>
      <c r="J148" t="s">
        <v>9</v>
      </c>
      <c r="L148">
        <v>11</v>
      </c>
      <c r="M148">
        <f>G148*-1</f>
        <v>33.088213624267198</v>
      </c>
      <c r="N148">
        <v>230</v>
      </c>
      <c r="O148" t="s">
        <v>155</v>
      </c>
      <c r="P148" s="11" t="s">
        <v>688</v>
      </c>
      <c r="Q148" s="5" t="s">
        <v>688</v>
      </c>
      <c r="R148" t="s">
        <v>518</v>
      </c>
      <c r="S148" t="s">
        <v>687</v>
      </c>
      <c r="T148" t="s">
        <v>687</v>
      </c>
      <c r="U148" t="s">
        <v>260</v>
      </c>
      <c r="X148" s="6" t="s">
        <v>262</v>
      </c>
    </row>
    <row r="149" spans="1:25" x14ac:dyDescent="0.2">
      <c r="A149">
        <v>149</v>
      </c>
      <c r="B149" t="s">
        <v>156</v>
      </c>
      <c r="C149">
        <v>966.642133096561</v>
      </c>
      <c r="D149">
        <v>6.1413939054102702</v>
      </c>
      <c r="E149">
        <v>767.76339982886395</v>
      </c>
      <c r="F149">
        <v>618.64273524428302</v>
      </c>
      <c r="G149">
        <v>-20.574184225821501</v>
      </c>
      <c r="H149">
        <v>9973.3277293822193</v>
      </c>
      <c r="I149" t="s">
        <v>9</v>
      </c>
      <c r="J149" t="s">
        <v>9</v>
      </c>
      <c r="L149">
        <v>62</v>
      </c>
      <c r="M149">
        <f>G149*-1</f>
        <v>20.574184225821501</v>
      </c>
      <c r="N149">
        <v>179</v>
      </c>
      <c r="O149" t="s">
        <v>156</v>
      </c>
      <c r="P149" s="11" t="s">
        <v>405</v>
      </c>
      <c r="Q149" s="5" t="s">
        <v>405</v>
      </c>
      <c r="R149" t="s">
        <v>406</v>
      </c>
      <c r="S149" t="s">
        <v>407</v>
      </c>
      <c r="T149" t="s">
        <v>407</v>
      </c>
      <c r="U149" t="s">
        <v>260</v>
      </c>
      <c r="V149" s="4" t="s">
        <v>408</v>
      </c>
      <c r="W149">
        <v>9100</v>
      </c>
      <c r="X149" s="6" t="s">
        <v>262</v>
      </c>
      <c r="Y149" t="s">
        <v>409</v>
      </c>
    </row>
    <row r="150" spans="1:25" x14ac:dyDescent="0.2">
      <c r="A150">
        <v>150</v>
      </c>
      <c r="B150" t="s">
        <v>157</v>
      </c>
      <c r="C150">
        <v>942.18599913641299</v>
      </c>
      <c r="D150">
        <v>22.2453972805646</v>
      </c>
      <c r="E150">
        <v>639.71476914776395</v>
      </c>
      <c r="F150">
        <v>742.54743437996103</v>
      </c>
      <c r="G150">
        <v>-32.103133592081299</v>
      </c>
      <c r="H150">
        <v>3237.9823476054999</v>
      </c>
      <c r="I150" t="s">
        <v>9</v>
      </c>
      <c r="J150" t="s">
        <v>9</v>
      </c>
      <c r="L150">
        <v>17</v>
      </c>
      <c r="M150">
        <f>G150*-1</f>
        <v>32.103133592081299</v>
      </c>
      <c r="N150">
        <v>224</v>
      </c>
      <c r="O150" t="s">
        <v>157</v>
      </c>
      <c r="P150" s="11" t="s">
        <v>711</v>
      </c>
      <c r="Q150" s="5" t="s">
        <v>711</v>
      </c>
      <c r="R150" t="s">
        <v>303</v>
      </c>
      <c r="S150" t="s">
        <v>712</v>
      </c>
      <c r="T150" t="s">
        <v>712</v>
      </c>
      <c r="U150" t="s">
        <v>260</v>
      </c>
      <c r="V150" s="4" t="s">
        <v>712</v>
      </c>
      <c r="W150">
        <v>7295</v>
      </c>
      <c r="X150" s="6" t="s">
        <v>262</v>
      </c>
      <c r="Y150" t="s">
        <v>713</v>
      </c>
    </row>
    <row r="151" spans="1:25" x14ac:dyDescent="0.2">
      <c r="A151">
        <v>151</v>
      </c>
      <c r="B151" t="s">
        <v>158</v>
      </c>
      <c r="C151">
        <v>930.507807133965</v>
      </c>
      <c r="D151">
        <v>18.6528313104325</v>
      </c>
      <c r="E151">
        <v>675.54367789018795</v>
      </c>
      <c r="F151">
        <v>688.31409120420506</v>
      </c>
      <c r="G151">
        <v>-27.400536275895</v>
      </c>
      <c r="H151">
        <v>3590.1319684332898</v>
      </c>
      <c r="I151" t="s">
        <v>9</v>
      </c>
      <c r="J151" t="s">
        <v>9</v>
      </c>
      <c r="L151">
        <v>30</v>
      </c>
      <c r="M151">
        <f>G151*-1</f>
        <v>27.400536275895</v>
      </c>
      <c r="N151">
        <v>211</v>
      </c>
      <c r="O151" t="s">
        <v>158</v>
      </c>
      <c r="P151" s="11" t="s">
        <v>158</v>
      </c>
      <c r="Q151" s="5" t="s">
        <v>158</v>
      </c>
      <c r="R151" t="s">
        <v>308</v>
      </c>
      <c r="S151" t="s">
        <v>724</v>
      </c>
      <c r="T151" t="s">
        <v>724</v>
      </c>
      <c r="U151" t="s">
        <v>260</v>
      </c>
      <c r="V151" s="4" t="s">
        <v>725</v>
      </c>
      <c r="W151">
        <v>7350</v>
      </c>
      <c r="X151" s="6" t="s">
        <v>262</v>
      </c>
      <c r="Y151" t="s">
        <v>726</v>
      </c>
    </row>
    <row r="152" spans="1:25" x14ac:dyDescent="0.2">
      <c r="A152">
        <v>152</v>
      </c>
      <c r="B152" t="s">
        <v>159</v>
      </c>
      <c r="C152">
        <v>924.18173037791098</v>
      </c>
      <c r="D152">
        <v>11.7138306275153</v>
      </c>
      <c r="E152">
        <v>630.16379651493196</v>
      </c>
      <c r="F152">
        <v>748.15173268858996</v>
      </c>
      <c r="G152">
        <v>-31.813865628219201</v>
      </c>
      <c r="H152">
        <v>6286.9092569189997</v>
      </c>
      <c r="I152" t="s">
        <v>9</v>
      </c>
      <c r="J152" t="s">
        <v>9</v>
      </c>
      <c r="L152">
        <v>18</v>
      </c>
      <c r="M152">
        <f>G152*-1</f>
        <v>31.813865628219201</v>
      </c>
      <c r="N152">
        <v>223</v>
      </c>
      <c r="O152" t="s">
        <v>159</v>
      </c>
      <c r="P152" s="11" t="s">
        <v>159</v>
      </c>
      <c r="Q152" s="5" t="s">
        <v>159</v>
      </c>
      <c r="R152" t="s">
        <v>308</v>
      </c>
      <c r="S152" t="s">
        <v>678</v>
      </c>
      <c r="T152" t="s">
        <v>678</v>
      </c>
      <c r="U152" t="s">
        <v>260</v>
      </c>
      <c r="V152" s="4" t="s">
        <v>678</v>
      </c>
      <c r="W152">
        <v>23411</v>
      </c>
      <c r="X152" s="6" t="s">
        <v>262</v>
      </c>
      <c r="Y152" t="s">
        <v>679</v>
      </c>
    </row>
    <row r="153" spans="1:25" x14ac:dyDescent="0.2">
      <c r="A153">
        <v>153</v>
      </c>
      <c r="B153" t="s">
        <v>160</v>
      </c>
      <c r="C153">
        <v>804.45775257330502</v>
      </c>
      <c r="D153">
        <v>30.7924445116249</v>
      </c>
      <c r="E153">
        <v>608.04435420903303</v>
      </c>
      <c r="F153">
        <v>560.720242835813</v>
      </c>
      <c r="G153">
        <v>-24.4156262694944</v>
      </c>
      <c r="H153">
        <v>1720.96696682892</v>
      </c>
      <c r="I153" s="1">
        <v>2.2014516081482098E-6</v>
      </c>
      <c r="J153" t="s">
        <v>9</v>
      </c>
      <c r="L153">
        <v>44</v>
      </c>
      <c r="M153">
        <f>G153*-1</f>
        <v>24.4156262694944</v>
      </c>
      <c r="N153">
        <v>197</v>
      </c>
      <c r="O153" t="s">
        <v>160</v>
      </c>
      <c r="P153" s="11" t="s">
        <v>561</v>
      </c>
      <c r="Q153" s="5" t="s">
        <v>561</v>
      </c>
      <c r="R153" t="s">
        <v>557</v>
      </c>
      <c r="S153" t="s">
        <v>558</v>
      </c>
      <c r="T153" t="s">
        <v>558</v>
      </c>
      <c r="U153" t="s">
        <v>260</v>
      </c>
      <c r="V153" s="4" t="s">
        <v>558</v>
      </c>
      <c r="W153">
        <v>10135</v>
      </c>
      <c r="X153" s="6" t="s">
        <v>262</v>
      </c>
      <c r="Y153" t="s">
        <v>559</v>
      </c>
    </row>
    <row r="154" spans="1:25" x14ac:dyDescent="0.2">
      <c r="A154">
        <v>154</v>
      </c>
      <c r="B154" t="s">
        <v>161</v>
      </c>
      <c r="C154">
        <v>560.388924734743</v>
      </c>
      <c r="D154">
        <v>351.26188133066</v>
      </c>
      <c r="E154">
        <v>274.86220042480102</v>
      </c>
      <c r="F154">
        <v>723.07095502785796</v>
      </c>
      <c r="G154">
        <v>-50.951528787813601</v>
      </c>
      <c r="H154">
        <v>105.84953661601401</v>
      </c>
      <c r="I154" s="1">
        <v>2.2332217951569601E-7</v>
      </c>
      <c r="J154" s="1">
        <v>7.9571610521282701E-9</v>
      </c>
      <c r="L154">
        <v>2</v>
      </c>
      <c r="M154">
        <f>G154*-1</f>
        <v>50.951528787813601</v>
      </c>
      <c r="N154">
        <v>239</v>
      </c>
      <c r="O154" t="s">
        <v>161</v>
      </c>
      <c r="P154" s="12" t="s">
        <v>161</v>
      </c>
      <c r="Q154" s="9" t="s">
        <v>161</v>
      </c>
      <c r="R154" s="8" t="s">
        <v>361</v>
      </c>
      <c r="S154" s="8" t="s">
        <v>721</v>
      </c>
      <c r="T154" s="8" t="s">
        <v>722</v>
      </c>
      <c r="U154" s="8" t="s">
        <v>364</v>
      </c>
      <c r="V154" s="10" t="s">
        <v>722</v>
      </c>
      <c r="W154" s="8">
        <v>7372</v>
      </c>
      <c r="X154" s="8" t="s">
        <v>262</v>
      </c>
      <c r="Y154" s="8" t="s">
        <v>723</v>
      </c>
    </row>
    <row r="155" spans="1:25" ht="16" customHeight="1" x14ac:dyDescent="0.2">
      <c r="A155">
        <v>155</v>
      </c>
      <c r="B155" t="s">
        <v>162</v>
      </c>
      <c r="C155">
        <v>925.92017975982799</v>
      </c>
      <c r="D155">
        <v>12.3096497955211</v>
      </c>
      <c r="E155">
        <v>633.49722089153499</v>
      </c>
      <c r="F155">
        <v>755.12358395904096</v>
      </c>
      <c r="G155">
        <v>-31.581875550454502</v>
      </c>
      <c r="H155">
        <v>6034.4034680319901</v>
      </c>
      <c r="I155" t="s">
        <v>9</v>
      </c>
      <c r="J155" t="s">
        <v>9</v>
      </c>
      <c r="L155">
        <v>19</v>
      </c>
      <c r="M155">
        <f>G155*-1</f>
        <v>31.581875550454502</v>
      </c>
      <c r="N155">
        <v>222</v>
      </c>
      <c r="O155" t="s">
        <v>162</v>
      </c>
      <c r="P155" s="11" t="s">
        <v>272</v>
      </c>
      <c r="Q155" s="5" t="s">
        <v>272</v>
      </c>
      <c r="R155" t="s">
        <v>258</v>
      </c>
      <c r="S155" t="s">
        <v>273</v>
      </c>
      <c r="T155" t="s">
        <v>273</v>
      </c>
      <c r="U155" t="s">
        <v>260</v>
      </c>
      <c r="V155" s="7" t="s">
        <v>273</v>
      </c>
      <c r="W155" s="6">
        <v>47</v>
      </c>
      <c r="X155" s="6" t="s">
        <v>262</v>
      </c>
      <c r="Y155" s="6" t="s">
        <v>274</v>
      </c>
    </row>
    <row r="156" spans="1:25" x14ac:dyDescent="0.2">
      <c r="A156">
        <v>156</v>
      </c>
      <c r="B156" t="s">
        <v>163</v>
      </c>
      <c r="C156">
        <v>917.72642619484895</v>
      </c>
      <c r="D156">
        <v>11.2333649972774</v>
      </c>
      <c r="E156">
        <v>607.46393983723101</v>
      </c>
      <c r="F156">
        <v>757.16628527139005</v>
      </c>
      <c r="G156">
        <v>-33.807731531067802</v>
      </c>
      <c r="H156">
        <v>6640.3336885688404</v>
      </c>
      <c r="I156" t="s">
        <v>9</v>
      </c>
      <c r="J156" t="s">
        <v>9</v>
      </c>
      <c r="L156">
        <v>10</v>
      </c>
      <c r="M156">
        <f>G156*-1</f>
        <v>33.807731531067802</v>
      </c>
      <c r="N156">
        <v>231</v>
      </c>
      <c r="O156" t="s">
        <v>163</v>
      </c>
      <c r="P156" s="11" t="s">
        <v>163</v>
      </c>
      <c r="Q156" s="5" t="s">
        <v>163</v>
      </c>
      <c r="R156" t="s">
        <v>445</v>
      </c>
      <c r="S156" t="s">
        <v>446</v>
      </c>
      <c r="T156" t="s">
        <v>446</v>
      </c>
      <c r="U156" t="s">
        <v>260</v>
      </c>
      <c r="V156" s="4" t="s">
        <v>447</v>
      </c>
      <c r="W156">
        <v>8972</v>
      </c>
      <c r="X156" s="6" t="s">
        <v>262</v>
      </c>
      <c r="Y156" t="s">
        <v>448</v>
      </c>
    </row>
    <row r="157" spans="1:25" x14ac:dyDescent="0.2">
      <c r="A157">
        <v>157</v>
      </c>
      <c r="B157" t="s">
        <v>164</v>
      </c>
      <c r="C157">
        <v>904.07853563536503</v>
      </c>
      <c r="D157">
        <v>40.0131603437857</v>
      </c>
      <c r="E157">
        <v>528.68440992416402</v>
      </c>
      <c r="F157">
        <v>759.03670544152499</v>
      </c>
      <c r="G157">
        <v>-41.522291583593798</v>
      </c>
      <c r="H157">
        <v>1796.96764494487</v>
      </c>
      <c r="I157" s="1">
        <v>1.03217585031771E-5</v>
      </c>
      <c r="J157" s="1">
        <v>3.5704404603476201E-7</v>
      </c>
      <c r="L157">
        <v>4</v>
      </c>
      <c r="M157">
        <f>G157*-1</f>
        <v>41.522291583593798</v>
      </c>
      <c r="N157">
        <v>237</v>
      </c>
      <c r="O157" t="s">
        <v>164</v>
      </c>
      <c r="P157" s="12" t="s">
        <v>164</v>
      </c>
      <c r="Q157" s="9" t="s">
        <v>164</v>
      </c>
      <c r="R157" s="8" t="s">
        <v>303</v>
      </c>
      <c r="S157" s="8" t="s">
        <v>729</v>
      </c>
      <c r="T157" s="8" t="s">
        <v>729</v>
      </c>
      <c r="U157" s="8" t="s">
        <v>364</v>
      </c>
      <c r="V157" s="10" t="s">
        <v>384</v>
      </c>
      <c r="W157" s="8">
        <v>5422</v>
      </c>
      <c r="X157" s="8" t="s">
        <v>262</v>
      </c>
      <c r="Y157" s="8" t="s">
        <v>385</v>
      </c>
    </row>
    <row r="158" spans="1:25" x14ac:dyDescent="0.2">
      <c r="A158">
        <v>158</v>
      </c>
      <c r="B158" t="s">
        <v>165</v>
      </c>
      <c r="C158">
        <v>501.96858131011197</v>
      </c>
      <c r="D158">
        <v>172.00671202042699</v>
      </c>
      <c r="E158">
        <v>340.27371297636898</v>
      </c>
      <c r="F158">
        <v>612.92402781090595</v>
      </c>
      <c r="G158">
        <v>-32.212149197012899</v>
      </c>
      <c r="H158">
        <v>256.33727347693002</v>
      </c>
      <c r="I158" s="1">
        <v>9.5558181757931496E-8</v>
      </c>
      <c r="J158" s="1">
        <v>2.5353924024447401E-8</v>
      </c>
      <c r="L158">
        <v>16</v>
      </c>
      <c r="M158">
        <f>G158*-1</f>
        <v>32.212149197012899</v>
      </c>
      <c r="N158">
        <v>225</v>
      </c>
      <c r="O158" t="s">
        <v>165</v>
      </c>
      <c r="P158" s="12" t="s">
        <v>165</v>
      </c>
      <c r="Q158" s="9" t="s">
        <v>165</v>
      </c>
      <c r="R158" s="8" t="s">
        <v>361</v>
      </c>
      <c r="S158" s="8" t="s">
        <v>389</v>
      </c>
      <c r="T158" s="8" t="s">
        <v>389</v>
      </c>
      <c r="U158" s="8" t="s">
        <v>364</v>
      </c>
      <c r="V158" s="10" t="s">
        <v>389</v>
      </c>
      <c r="W158" s="8">
        <v>1719</v>
      </c>
      <c r="X158" s="8" t="s">
        <v>262</v>
      </c>
      <c r="Y158" s="8" t="s">
        <v>390</v>
      </c>
    </row>
    <row r="159" spans="1:25" x14ac:dyDescent="0.2">
      <c r="A159">
        <v>159</v>
      </c>
      <c r="B159" t="s">
        <v>166</v>
      </c>
      <c r="C159">
        <v>933.90397135921103</v>
      </c>
      <c r="D159">
        <v>12.4697628469489</v>
      </c>
      <c r="E159">
        <v>666.66876419381094</v>
      </c>
      <c r="F159">
        <v>750.84518316825995</v>
      </c>
      <c r="G159">
        <v>-28.614848566974601</v>
      </c>
      <c r="H159">
        <v>5921.3268879606203</v>
      </c>
      <c r="I159" t="s">
        <v>9</v>
      </c>
      <c r="J159" t="s">
        <v>9</v>
      </c>
      <c r="L159">
        <v>26</v>
      </c>
      <c r="M159">
        <f>G159*-1</f>
        <v>28.614848566974601</v>
      </c>
      <c r="N159">
        <v>215</v>
      </c>
      <c r="O159" t="s">
        <v>166</v>
      </c>
      <c r="P159" s="11" t="s">
        <v>257</v>
      </c>
      <c r="Q159" s="5" t="s">
        <v>257</v>
      </c>
      <c r="R159" t="s">
        <v>258</v>
      </c>
      <c r="S159" t="s">
        <v>259</v>
      </c>
      <c r="T159" t="s">
        <v>259</v>
      </c>
      <c r="U159" t="s">
        <v>260</v>
      </c>
      <c r="V159" s="4" t="s">
        <v>261</v>
      </c>
      <c r="W159">
        <v>9415</v>
      </c>
      <c r="X159" s="6" t="s">
        <v>262</v>
      </c>
      <c r="Y159" t="s">
        <v>263</v>
      </c>
    </row>
    <row r="160" spans="1:25" x14ac:dyDescent="0.2">
      <c r="A160">
        <v>160</v>
      </c>
      <c r="B160" t="s">
        <v>167</v>
      </c>
      <c r="C160">
        <v>852.45465788156105</v>
      </c>
      <c r="D160">
        <v>12.3056472564916</v>
      </c>
      <c r="E160">
        <v>610.985562417138</v>
      </c>
      <c r="F160">
        <v>720.19890459093301</v>
      </c>
      <c r="G160">
        <v>-28.326327181377501</v>
      </c>
      <c r="H160">
        <v>5752.5885683177603</v>
      </c>
      <c r="I160" s="1">
        <v>6.2567936265641302E-6</v>
      </c>
      <c r="J160" t="s">
        <v>9</v>
      </c>
      <c r="L160">
        <v>28</v>
      </c>
      <c r="M160">
        <f>G160*-1</f>
        <v>28.326327181377501</v>
      </c>
      <c r="N160">
        <v>213</v>
      </c>
      <c r="O160" t="s">
        <v>167</v>
      </c>
      <c r="P160" s="11" t="s">
        <v>587</v>
      </c>
      <c r="Q160" s="5" t="s">
        <v>587</v>
      </c>
      <c r="R160" t="s">
        <v>258</v>
      </c>
      <c r="S160" t="s">
        <v>588</v>
      </c>
      <c r="T160" t="s">
        <v>588</v>
      </c>
      <c r="U160" t="s">
        <v>260</v>
      </c>
      <c r="V160" s="4" t="s">
        <v>589</v>
      </c>
      <c r="W160">
        <v>4047</v>
      </c>
      <c r="X160" s="6" t="s">
        <v>262</v>
      </c>
      <c r="Y160" t="s">
        <v>590</v>
      </c>
    </row>
    <row r="161" spans="1:25" x14ac:dyDescent="0.2">
      <c r="A161">
        <v>161</v>
      </c>
      <c r="B161" t="s">
        <v>168</v>
      </c>
      <c r="C161">
        <v>930.81780403948505</v>
      </c>
      <c r="D161">
        <v>8.4967213915176796</v>
      </c>
      <c r="E161">
        <v>598.14347541222605</v>
      </c>
      <c r="F161">
        <v>752.70289679548205</v>
      </c>
      <c r="G161">
        <v>-35.740004884258497</v>
      </c>
      <c r="H161">
        <v>8758.7451807812504</v>
      </c>
      <c r="I161" t="s">
        <v>9</v>
      </c>
      <c r="J161">
        <v>5909.8702875945401</v>
      </c>
      <c r="L161">
        <v>8</v>
      </c>
      <c r="M161">
        <f>G161*-1</f>
        <v>35.740004884258497</v>
      </c>
      <c r="N161">
        <v>233</v>
      </c>
      <c r="O161" t="s">
        <v>168</v>
      </c>
      <c r="P161" s="11" t="s">
        <v>168</v>
      </c>
      <c r="Q161" s="5" t="s">
        <v>168</v>
      </c>
      <c r="R161" t="s">
        <v>518</v>
      </c>
      <c r="S161" t="s">
        <v>741</v>
      </c>
      <c r="T161" t="s">
        <v>741</v>
      </c>
      <c r="U161" t="s">
        <v>260</v>
      </c>
      <c r="V161" s="4" t="s">
        <v>733</v>
      </c>
      <c r="W161">
        <v>23657</v>
      </c>
      <c r="X161" s="6" t="s">
        <v>262</v>
      </c>
      <c r="Y161" t="s">
        <v>734</v>
      </c>
    </row>
    <row r="162" spans="1:25" x14ac:dyDescent="0.2">
      <c r="A162">
        <v>162</v>
      </c>
      <c r="B162" t="s">
        <v>169</v>
      </c>
      <c r="C162">
        <v>770.54748444928896</v>
      </c>
      <c r="D162">
        <v>38.507940838199801</v>
      </c>
      <c r="E162">
        <v>752.09086264451605</v>
      </c>
      <c r="F162">
        <v>98.628332861536293</v>
      </c>
      <c r="G162">
        <v>-2.39526079537639</v>
      </c>
      <c r="H162">
        <v>156.12466082241701</v>
      </c>
      <c r="I162" s="1">
        <v>2.5824780853906301E-7</v>
      </c>
      <c r="J162" s="1">
        <v>2.5495463487856398E-7</v>
      </c>
      <c r="L162">
        <v>125</v>
      </c>
      <c r="M162">
        <f>G162*-1</f>
        <v>2.39526079537639</v>
      </c>
      <c r="N162">
        <v>116</v>
      </c>
      <c r="O162" t="s">
        <v>169</v>
      </c>
      <c r="P162" s="11" t="s">
        <v>298</v>
      </c>
      <c r="Q162" s="5" t="s">
        <v>298</v>
      </c>
      <c r="R162" t="s">
        <v>299</v>
      </c>
      <c r="S162" t="s">
        <v>300</v>
      </c>
      <c r="T162" t="s">
        <v>300</v>
      </c>
      <c r="U162" t="s">
        <v>260</v>
      </c>
      <c r="V162" s="4" t="s">
        <v>301</v>
      </c>
      <c r="W162">
        <v>1071</v>
      </c>
      <c r="X162" s="6" t="s">
        <v>262</v>
      </c>
      <c r="Y162" t="s">
        <v>302</v>
      </c>
    </row>
    <row r="163" spans="1:25" x14ac:dyDescent="0.2">
      <c r="A163">
        <v>163</v>
      </c>
      <c r="B163" t="s">
        <v>170</v>
      </c>
      <c r="C163">
        <v>867.95531088752796</v>
      </c>
      <c r="D163">
        <v>16.8451172393404</v>
      </c>
      <c r="E163">
        <v>582.43459582451101</v>
      </c>
      <c r="F163">
        <v>689.68787688875898</v>
      </c>
      <c r="G163">
        <v>-32.895785241645399</v>
      </c>
      <c r="H163">
        <v>3994.28956230739</v>
      </c>
      <c r="I163" s="1">
        <v>4.11577143103855E-6</v>
      </c>
      <c r="J163" t="s">
        <v>9</v>
      </c>
      <c r="L163">
        <v>13</v>
      </c>
      <c r="M163">
        <f>G163*-1</f>
        <v>32.895785241645399</v>
      </c>
      <c r="N163">
        <v>228</v>
      </c>
      <c r="O163" t="s">
        <v>170</v>
      </c>
      <c r="P163" s="11" t="s">
        <v>693</v>
      </c>
      <c r="Q163" s="5" t="s">
        <v>693</v>
      </c>
      <c r="R163" t="s">
        <v>258</v>
      </c>
      <c r="S163" t="s">
        <v>690</v>
      </c>
      <c r="T163" t="s">
        <v>690</v>
      </c>
      <c r="U163" t="s">
        <v>260</v>
      </c>
      <c r="V163" s="4" t="s">
        <v>691</v>
      </c>
      <c r="W163">
        <v>8877</v>
      </c>
      <c r="X163" s="6" t="s">
        <v>262</v>
      </c>
      <c r="Y163" t="s">
        <v>692</v>
      </c>
    </row>
    <row r="164" spans="1:25" x14ac:dyDescent="0.2">
      <c r="A164">
        <v>164</v>
      </c>
      <c r="B164" t="s">
        <v>171</v>
      </c>
      <c r="C164">
        <v>923.02222274367705</v>
      </c>
      <c r="D164">
        <v>9.1809489029031397</v>
      </c>
      <c r="E164">
        <v>586.84288368339196</v>
      </c>
      <c r="F164">
        <v>750.90675695633104</v>
      </c>
      <c r="G164">
        <v>-36.421586693871099</v>
      </c>
      <c r="H164">
        <v>8078.9667375110203</v>
      </c>
      <c r="I164" t="s">
        <v>9</v>
      </c>
      <c r="J164">
        <v>0.93639301636105599</v>
      </c>
      <c r="L164">
        <v>7</v>
      </c>
      <c r="M164">
        <f>G164*-1</f>
        <v>36.421586693871099</v>
      </c>
      <c r="N164">
        <v>234</v>
      </c>
      <c r="O164" t="s">
        <v>171</v>
      </c>
      <c r="P164" s="11" t="s">
        <v>639</v>
      </c>
      <c r="Q164" s="5" t="s">
        <v>639</v>
      </c>
      <c r="R164" t="s">
        <v>258</v>
      </c>
      <c r="S164" t="s">
        <v>640</v>
      </c>
      <c r="T164" t="s">
        <v>640</v>
      </c>
      <c r="U164" t="s">
        <v>260</v>
      </c>
      <c r="V164" s="4" t="s">
        <v>641</v>
      </c>
      <c r="W164">
        <v>5465</v>
      </c>
      <c r="X164" s="6" t="s">
        <v>262</v>
      </c>
      <c r="Y164" t="s">
        <v>642</v>
      </c>
    </row>
    <row r="165" spans="1:25" x14ac:dyDescent="0.2">
      <c r="A165">
        <v>165</v>
      </c>
      <c r="B165" t="s">
        <v>172</v>
      </c>
      <c r="C165">
        <v>947.084962929683</v>
      </c>
      <c r="D165">
        <v>10.312588931251801</v>
      </c>
      <c r="E165">
        <v>650.388599064044</v>
      </c>
      <c r="F165">
        <v>747.18857787346303</v>
      </c>
      <c r="G165">
        <v>-31.3273228357303</v>
      </c>
      <c r="H165">
        <v>7145.4025158429704</v>
      </c>
      <c r="I165" t="s">
        <v>9</v>
      </c>
      <c r="J165" t="s">
        <v>9</v>
      </c>
      <c r="L165">
        <v>20</v>
      </c>
      <c r="M165">
        <f>G165*-1</f>
        <v>31.3273228357303</v>
      </c>
      <c r="N165">
        <v>221</v>
      </c>
      <c r="O165" t="s">
        <v>172</v>
      </c>
      <c r="P165" s="11" t="s">
        <v>172</v>
      </c>
      <c r="Q165" s="5" t="s">
        <v>172</v>
      </c>
      <c r="R165" t="s">
        <v>303</v>
      </c>
      <c r="S165" t="s">
        <v>729</v>
      </c>
      <c r="T165" t="s">
        <v>729</v>
      </c>
      <c r="U165" t="s">
        <v>260</v>
      </c>
      <c r="X165" s="6" t="s">
        <v>262</v>
      </c>
    </row>
    <row r="166" spans="1:25" ht="16" customHeight="1" x14ac:dyDescent="0.2">
      <c r="A166">
        <v>166</v>
      </c>
      <c r="B166" t="s">
        <v>173</v>
      </c>
      <c r="C166">
        <v>256.13514975315201</v>
      </c>
      <c r="D166">
        <v>278.20449698788502</v>
      </c>
      <c r="E166">
        <v>213.85643835595599</v>
      </c>
      <c r="F166">
        <v>547.271113282952</v>
      </c>
      <c r="G166">
        <v>-16.506407432928398</v>
      </c>
      <c r="H166">
        <v>96.715408704117294</v>
      </c>
      <c r="I166" s="1">
        <v>7.6258651497365702E-9</v>
      </c>
      <c r="J166" s="1">
        <v>5.3951607104659197E-9</v>
      </c>
      <c r="L166">
        <v>87</v>
      </c>
      <c r="M166">
        <f>G166*-1</f>
        <v>16.506407432928398</v>
      </c>
      <c r="N166">
        <v>154</v>
      </c>
      <c r="O166" t="s">
        <v>173</v>
      </c>
      <c r="P166" s="11" t="s">
        <v>173</v>
      </c>
      <c r="Q166" s="5" t="s">
        <v>173</v>
      </c>
      <c r="R166" t="s">
        <v>361</v>
      </c>
      <c r="S166" t="s">
        <v>718</v>
      </c>
      <c r="T166" t="s">
        <v>718</v>
      </c>
      <c r="U166" t="s">
        <v>260</v>
      </c>
      <c r="V166" s="4" t="s">
        <v>718</v>
      </c>
      <c r="W166">
        <v>7298</v>
      </c>
      <c r="X166" s="6" t="s">
        <v>262</v>
      </c>
      <c r="Y166" t="s">
        <v>719</v>
      </c>
    </row>
    <row r="167" spans="1:25" x14ac:dyDescent="0.2">
      <c r="A167">
        <v>167</v>
      </c>
      <c r="B167" t="s">
        <v>174</v>
      </c>
      <c r="C167">
        <v>922.20072344538505</v>
      </c>
      <c r="D167">
        <v>13.1180860905102</v>
      </c>
      <c r="E167">
        <v>639.48838641273403</v>
      </c>
      <c r="F167">
        <v>755.50000797667894</v>
      </c>
      <c r="G167">
        <v>-30.6562692747003</v>
      </c>
      <c r="H167">
        <v>5659.22434693593</v>
      </c>
      <c r="I167" t="s">
        <v>9</v>
      </c>
      <c r="J167" t="s">
        <v>9</v>
      </c>
      <c r="L167">
        <v>21</v>
      </c>
      <c r="M167">
        <f>G167*-1</f>
        <v>30.6562692747003</v>
      </c>
      <c r="N167">
        <v>220</v>
      </c>
      <c r="O167" t="s">
        <v>174</v>
      </c>
      <c r="P167" s="11" t="s">
        <v>342</v>
      </c>
      <c r="Q167" s="5" t="s">
        <v>342</v>
      </c>
      <c r="R167" t="s">
        <v>308</v>
      </c>
      <c r="S167" t="s">
        <v>343</v>
      </c>
      <c r="T167" t="s">
        <v>343</v>
      </c>
      <c r="U167" t="s">
        <v>260</v>
      </c>
      <c r="V167" s="4" t="s">
        <v>344</v>
      </c>
      <c r="W167">
        <v>1351</v>
      </c>
      <c r="X167" s="6" t="s">
        <v>262</v>
      </c>
      <c r="Y167" t="s">
        <v>345</v>
      </c>
    </row>
    <row r="168" spans="1:25" ht="15" customHeight="1" x14ac:dyDescent="0.2">
      <c r="A168">
        <v>168</v>
      </c>
      <c r="B168" t="s">
        <v>175</v>
      </c>
      <c r="C168">
        <v>919.15148386342696</v>
      </c>
      <c r="D168">
        <v>11.882833600527199</v>
      </c>
      <c r="E168">
        <v>576.77944049429595</v>
      </c>
      <c r="F168">
        <v>704.70762705310199</v>
      </c>
      <c r="G168">
        <v>-37.248707028144501</v>
      </c>
      <c r="H168">
        <v>5830.4678559315698</v>
      </c>
      <c r="I168" t="s">
        <v>9</v>
      </c>
      <c r="J168" t="s">
        <v>9</v>
      </c>
      <c r="L168">
        <v>6</v>
      </c>
      <c r="M168">
        <f>G168*-1</f>
        <v>37.248707028144501</v>
      </c>
      <c r="N168">
        <v>235</v>
      </c>
      <c r="O168" t="s">
        <v>175</v>
      </c>
      <c r="P168" s="11" t="s">
        <v>486</v>
      </c>
      <c r="Q168" s="5" t="s">
        <v>486</v>
      </c>
      <c r="R168" t="s">
        <v>258</v>
      </c>
      <c r="S168" t="s">
        <v>484</v>
      </c>
      <c r="T168" t="s">
        <v>484</v>
      </c>
      <c r="U168" t="s">
        <v>260</v>
      </c>
      <c r="V168" s="4" t="s">
        <v>484</v>
      </c>
      <c r="W168">
        <v>3156</v>
      </c>
      <c r="X168" s="6" t="s">
        <v>262</v>
      </c>
      <c r="Y168" t="s">
        <v>485</v>
      </c>
    </row>
    <row r="169" spans="1:25" x14ac:dyDescent="0.2">
      <c r="A169">
        <v>169</v>
      </c>
      <c r="B169" t="s">
        <v>176</v>
      </c>
      <c r="C169">
        <v>928.19299324534597</v>
      </c>
      <c r="D169">
        <v>9.8434997358024301</v>
      </c>
      <c r="E169">
        <v>578.18246432478497</v>
      </c>
      <c r="F169">
        <v>754.27187672679702</v>
      </c>
      <c r="G169">
        <v>-37.708809640630797</v>
      </c>
      <c r="H169">
        <v>7562.6392743567203</v>
      </c>
      <c r="I169" t="s">
        <v>9</v>
      </c>
      <c r="J169">
        <v>2.0475327943282998E-2</v>
      </c>
      <c r="L169">
        <v>5</v>
      </c>
      <c r="M169">
        <f>G169*-1</f>
        <v>37.708809640630797</v>
      </c>
      <c r="N169">
        <v>236</v>
      </c>
      <c r="O169" t="s">
        <v>176</v>
      </c>
      <c r="P169" s="11" t="s">
        <v>176</v>
      </c>
      <c r="Q169" s="5" t="s">
        <v>176</v>
      </c>
      <c r="R169" t="s">
        <v>299</v>
      </c>
      <c r="S169" t="s">
        <v>354</v>
      </c>
      <c r="T169" t="s">
        <v>354</v>
      </c>
      <c r="U169" t="s">
        <v>260</v>
      </c>
      <c r="V169" s="4" t="s">
        <v>354</v>
      </c>
      <c r="W169">
        <v>4513</v>
      </c>
      <c r="X169" s="6" t="s">
        <v>262</v>
      </c>
      <c r="Y169" t="s">
        <v>355</v>
      </c>
    </row>
    <row r="170" spans="1:25" x14ac:dyDescent="0.2">
      <c r="A170">
        <v>170</v>
      </c>
      <c r="B170" t="s">
        <v>177</v>
      </c>
      <c r="C170">
        <v>933.90723570359398</v>
      </c>
      <c r="D170">
        <v>12.3425606080525</v>
      </c>
      <c r="E170">
        <v>692.96640065126303</v>
      </c>
      <c r="F170">
        <v>735.12138253193098</v>
      </c>
      <c r="G170">
        <v>-25.799225644804999</v>
      </c>
      <c r="H170">
        <v>5855.9876258766499</v>
      </c>
      <c r="I170" t="s">
        <v>9</v>
      </c>
      <c r="J170" t="s">
        <v>9</v>
      </c>
      <c r="L170">
        <v>37</v>
      </c>
      <c r="M170">
        <f>G170*-1</f>
        <v>25.799225644804999</v>
      </c>
      <c r="N170">
        <v>204</v>
      </c>
      <c r="O170" t="s">
        <v>177</v>
      </c>
      <c r="P170" s="11" t="s">
        <v>177</v>
      </c>
      <c r="Q170" s="5" t="s">
        <v>177</v>
      </c>
      <c r="R170" t="s">
        <v>445</v>
      </c>
      <c r="S170" t="s">
        <v>537</v>
      </c>
      <c r="T170" t="s">
        <v>537</v>
      </c>
      <c r="U170" t="s">
        <v>260</v>
      </c>
      <c r="V170" s="4" t="s">
        <v>540</v>
      </c>
      <c r="W170">
        <v>4124</v>
      </c>
      <c r="X170" s="6" t="s">
        <v>262</v>
      </c>
      <c r="Y170" t="s">
        <v>541</v>
      </c>
    </row>
    <row r="171" spans="1:25" x14ac:dyDescent="0.2">
      <c r="A171">
        <v>171</v>
      </c>
      <c r="B171" t="s">
        <v>178</v>
      </c>
      <c r="C171">
        <v>663.051509868415</v>
      </c>
      <c r="D171">
        <v>9.2457423629576994</v>
      </c>
      <c r="E171">
        <v>463.28370740272601</v>
      </c>
      <c r="F171">
        <v>466.03959338839297</v>
      </c>
      <c r="G171">
        <v>-30.128549515758301</v>
      </c>
      <c r="H171">
        <v>4940.5859810191396</v>
      </c>
      <c r="I171" s="1">
        <v>6.2370314125149596E-7</v>
      </c>
      <c r="J171" s="1">
        <v>1.34395710895703E-7</v>
      </c>
      <c r="L171">
        <v>22</v>
      </c>
      <c r="M171">
        <f>G171*-1</f>
        <v>30.128549515758301</v>
      </c>
      <c r="N171">
        <v>219</v>
      </c>
      <c r="O171" t="s">
        <v>178</v>
      </c>
      <c r="P171" s="11" t="s">
        <v>178</v>
      </c>
      <c r="Q171" s="5" t="s">
        <v>178</v>
      </c>
      <c r="R171" t="s">
        <v>406</v>
      </c>
      <c r="S171" t="s">
        <v>452</v>
      </c>
      <c r="T171" t="s">
        <v>452</v>
      </c>
      <c r="U171" t="s">
        <v>260</v>
      </c>
      <c r="V171" s="4" t="s">
        <v>453</v>
      </c>
      <c r="W171">
        <v>79158</v>
      </c>
      <c r="X171" s="6" t="s">
        <v>262</v>
      </c>
      <c r="Y171" t="s">
        <v>454</v>
      </c>
    </row>
    <row r="172" spans="1:25" x14ac:dyDescent="0.2">
      <c r="A172">
        <v>172</v>
      </c>
      <c r="B172" t="s">
        <v>179</v>
      </c>
      <c r="C172">
        <v>360.77965076997498</v>
      </c>
      <c r="D172">
        <v>16.481782926914399</v>
      </c>
      <c r="E172">
        <v>360.646577145354</v>
      </c>
      <c r="F172">
        <v>252.94960188339499</v>
      </c>
      <c r="G172">
        <v>-3.6885013979426499E-2</v>
      </c>
      <c r="H172">
        <v>1434.7223234589101</v>
      </c>
      <c r="I172" s="1">
        <v>2.1928295714302502E-8</v>
      </c>
      <c r="J172" s="1">
        <v>2.74484255181989E-8</v>
      </c>
      <c r="L172">
        <v>128</v>
      </c>
      <c r="M172">
        <f>G172*-1</f>
        <v>3.6885013979426499E-2</v>
      </c>
      <c r="N172">
        <v>113</v>
      </c>
      <c r="O172" t="s">
        <v>179</v>
      </c>
      <c r="P172" s="11" t="s">
        <v>179</v>
      </c>
      <c r="Q172" s="5" t="s">
        <v>179</v>
      </c>
      <c r="R172" t="s">
        <v>406</v>
      </c>
      <c r="S172" t="s">
        <v>664</v>
      </c>
      <c r="T172" t="s">
        <v>664</v>
      </c>
      <c r="U172" t="s">
        <v>260</v>
      </c>
      <c r="V172" s="4" t="s">
        <v>665</v>
      </c>
      <c r="W172">
        <v>487</v>
      </c>
      <c r="X172" s="6" t="s">
        <v>262</v>
      </c>
      <c r="Y172" t="s">
        <v>666</v>
      </c>
    </row>
    <row r="173" spans="1:25" x14ac:dyDescent="0.2">
      <c r="A173">
        <v>173</v>
      </c>
      <c r="B173" t="s">
        <v>180</v>
      </c>
      <c r="C173">
        <v>932.52777023158205</v>
      </c>
      <c r="D173">
        <v>10.9462302182302</v>
      </c>
      <c r="E173">
        <v>698.55965696403905</v>
      </c>
      <c r="F173">
        <v>734.78199648175701</v>
      </c>
      <c r="G173">
        <v>-25.089667110872199</v>
      </c>
      <c r="H173">
        <v>6612.6488465227603</v>
      </c>
      <c r="I173" t="s">
        <v>9</v>
      </c>
      <c r="J173" t="s">
        <v>9</v>
      </c>
      <c r="L173">
        <v>40</v>
      </c>
      <c r="M173">
        <f>G173*-1</f>
        <v>25.089667110872199</v>
      </c>
      <c r="N173">
        <v>201</v>
      </c>
      <c r="O173" t="s">
        <v>180</v>
      </c>
      <c r="P173" s="11" t="s">
        <v>180</v>
      </c>
      <c r="Q173" s="5" t="s">
        <v>180</v>
      </c>
      <c r="R173" t="s">
        <v>406</v>
      </c>
      <c r="S173" t="s">
        <v>595</v>
      </c>
      <c r="T173" t="s">
        <v>595</v>
      </c>
      <c r="U173" t="s">
        <v>260</v>
      </c>
      <c r="V173" s="4" t="s">
        <v>592</v>
      </c>
      <c r="W173">
        <v>7415</v>
      </c>
      <c r="X173" s="6" t="s">
        <v>262</v>
      </c>
      <c r="Y173" t="s">
        <v>593</v>
      </c>
    </row>
    <row r="174" spans="1:25" ht="16" customHeight="1" x14ac:dyDescent="0.2">
      <c r="A174">
        <v>174</v>
      </c>
      <c r="B174" t="s">
        <v>181</v>
      </c>
      <c r="C174">
        <v>915.02243692173897</v>
      </c>
      <c r="D174">
        <v>13.6258960048003</v>
      </c>
      <c r="E174">
        <v>675.02912006086694</v>
      </c>
      <c r="F174">
        <v>744.606529209668</v>
      </c>
      <c r="G174">
        <v>-26.228134652986501</v>
      </c>
      <c r="H174">
        <v>5364.6426843955696</v>
      </c>
      <c r="I174" s="1">
        <v>1.6746302164988599E-5</v>
      </c>
      <c r="J174">
        <v>1.0070816972564799E-2</v>
      </c>
      <c r="L174">
        <v>34</v>
      </c>
      <c r="M174">
        <f>G174*-1</f>
        <v>26.228134652986501</v>
      </c>
      <c r="N174">
        <v>207</v>
      </c>
      <c r="O174" t="s">
        <v>181</v>
      </c>
      <c r="P174" s="11" t="s">
        <v>542</v>
      </c>
      <c r="Q174" s="5" t="s">
        <v>542</v>
      </c>
      <c r="R174" t="s">
        <v>445</v>
      </c>
      <c r="S174" t="s">
        <v>537</v>
      </c>
      <c r="T174" t="s">
        <v>537</v>
      </c>
      <c r="U174" t="s">
        <v>260</v>
      </c>
      <c r="V174" s="4" t="s">
        <v>543</v>
      </c>
      <c r="W174">
        <v>151306</v>
      </c>
      <c r="X174" s="6" t="s">
        <v>262</v>
      </c>
      <c r="Y174" t="s">
        <v>544</v>
      </c>
    </row>
    <row r="175" spans="1:25" x14ac:dyDescent="0.2">
      <c r="A175">
        <v>175</v>
      </c>
      <c r="B175" t="s">
        <v>182</v>
      </c>
      <c r="C175">
        <v>930.13372822990505</v>
      </c>
      <c r="D175">
        <v>13.5109358894731</v>
      </c>
      <c r="E175">
        <v>702.58301745766403</v>
      </c>
      <c r="F175">
        <v>737.08606755774497</v>
      </c>
      <c r="G175">
        <v>-24.464300547974101</v>
      </c>
      <c r="H175">
        <v>5355.4775005041602</v>
      </c>
      <c r="I175" t="s">
        <v>9</v>
      </c>
      <c r="J175" t="s">
        <v>9</v>
      </c>
      <c r="L175">
        <v>43</v>
      </c>
      <c r="M175">
        <f>G175*-1</f>
        <v>24.464300547974101</v>
      </c>
      <c r="N175">
        <v>198</v>
      </c>
      <c r="O175" t="s">
        <v>182</v>
      </c>
      <c r="P175" s="11" t="s">
        <v>321</v>
      </c>
      <c r="Q175" s="5" t="s">
        <v>321</v>
      </c>
      <c r="R175" t="s">
        <v>317</v>
      </c>
      <c r="S175" t="s">
        <v>322</v>
      </c>
      <c r="T175" t="s">
        <v>322</v>
      </c>
      <c r="U175" t="s">
        <v>260</v>
      </c>
      <c r="V175" s="4" t="s">
        <v>323</v>
      </c>
      <c r="W175">
        <v>768</v>
      </c>
      <c r="X175" s="6" t="s">
        <v>262</v>
      </c>
      <c r="Y175" t="s">
        <v>324</v>
      </c>
    </row>
    <row r="176" spans="1:25" x14ac:dyDescent="0.2">
      <c r="A176">
        <v>176</v>
      </c>
      <c r="B176" t="s">
        <v>183</v>
      </c>
      <c r="C176">
        <v>932.29827250285598</v>
      </c>
      <c r="D176">
        <v>9.9647362181286692</v>
      </c>
      <c r="E176">
        <v>652.88300650839994</v>
      </c>
      <c r="F176">
        <v>745.77642098425304</v>
      </c>
      <c r="G176">
        <v>-29.970587121687501</v>
      </c>
      <c r="H176">
        <v>7384.1561749268903</v>
      </c>
      <c r="I176" t="s">
        <v>9</v>
      </c>
      <c r="J176">
        <v>7.71936457226301E-2</v>
      </c>
      <c r="L176">
        <v>23</v>
      </c>
      <c r="M176">
        <f>G176*-1</f>
        <v>29.970587121687501</v>
      </c>
      <c r="N176">
        <v>218</v>
      </c>
      <c r="O176" t="s">
        <v>183</v>
      </c>
      <c r="P176" s="11" t="s">
        <v>183</v>
      </c>
      <c r="Q176" s="5" t="s">
        <v>183</v>
      </c>
      <c r="R176" t="s">
        <v>299</v>
      </c>
      <c r="S176" t="s">
        <v>346</v>
      </c>
      <c r="T176" t="s">
        <v>346</v>
      </c>
      <c r="U176" t="s">
        <v>260</v>
      </c>
      <c r="V176" s="4" t="s">
        <v>346</v>
      </c>
      <c r="W176">
        <v>1312</v>
      </c>
      <c r="X176" s="6" t="s">
        <v>262</v>
      </c>
      <c r="Y176" t="s">
        <v>347</v>
      </c>
    </row>
    <row r="177" spans="1:25" ht="16" customHeight="1" x14ac:dyDescent="0.2">
      <c r="A177">
        <v>177</v>
      </c>
      <c r="B177" t="s">
        <v>184</v>
      </c>
      <c r="C177">
        <v>928.08962371622897</v>
      </c>
      <c r="D177">
        <v>12.0279916481594</v>
      </c>
      <c r="E177">
        <v>683.07068162568999</v>
      </c>
      <c r="F177">
        <v>738.12941848098296</v>
      </c>
      <c r="G177">
        <v>-26.400353568165301</v>
      </c>
      <c r="H177">
        <v>6036.7636432798399</v>
      </c>
      <c r="I177" t="s">
        <v>9</v>
      </c>
      <c r="J177" t="s">
        <v>9</v>
      </c>
      <c r="L177">
        <v>33</v>
      </c>
      <c r="M177">
        <f>G177*-1</f>
        <v>26.400353568165301</v>
      </c>
      <c r="N177">
        <v>208</v>
      </c>
      <c r="O177" t="s">
        <v>184</v>
      </c>
      <c r="P177" s="11" t="s">
        <v>184</v>
      </c>
      <c r="Q177" s="5" t="s">
        <v>184</v>
      </c>
      <c r="R177" t="s">
        <v>258</v>
      </c>
      <c r="S177" t="s">
        <v>286</v>
      </c>
      <c r="T177" t="s">
        <v>286</v>
      </c>
      <c r="U177" t="s">
        <v>260</v>
      </c>
      <c r="V177" s="4" t="s">
        <v>286</v>
      </c>
      <c r="W177">
        <v>240</v>
      </c>
      <c r="X177" s="6" t="s">
        <v>262</v>
      </c>
      <c r="Y177" t="s">
        <v>287</v>
      </c>
    </row>
    <row r="178" spans="1:25" x14ac:dyDescent="0.2">
      <c r="A178">
        <v>178</v>
      </c>
      <c r="B178" t="s">
        <v>185</v>
      </c>
      <c r="C178">
        <v>922.64045592492596</v>
      </c>
      <c r="D178">
        <v>13.299746963732799</v>
      </c>
      <c r="E178">
        <v>684.287640454913</v>
      </c>
      <c r="F178">
        <v>744.897828016826</v>
      </c>
      <c r="G178">
        <v>-25.833770234047499</v>
      </c>
      <c r="H178">
        <v>5500.8421066062001</v>
      </c>
      <c r="I178" t="s">
        <v>9</v>
      </c>
      <c r="J178" t="s">
        <v>9</v>
      </c>
      <c r="L178">
        <v>36</v>
      </c>
      <c r="M178">
        <f>G178*-1</f>
        <v>25.833770234047499</v>
      </c>
      <c r="N178">
        <v>205</v>
      </c>
      <c r="O178" t="s">
        <v>185</v>
      </c>
      <c r="P178" s="11" t="s">
        <v>185</v>
      </c>
      <c r="Q178" s="5" t="s">
        <v>185</v>
      </c>
      <c r="R178" t="s">
        <v>303</v>
      </c>
      <c r="S178" t="s">
        <v>468</v>
      </c>
      <c r="T178" t="s">
        <v>468</v>
      </c>
      <c r="U178" t="s">
        <v>260</v>
      </c>
      <c r="V178" s="4" t="s">
        <v>469</v>
      </c>
      <c r="W178">
        <v>2950</v>
      </c>
      <c r="X178" s="6" t="s">
        <v>262</v>
      </c>
      <c r="Y178" t="s">
        <v>470</v>
      </c>
    </row>
    <row r="179" spans="1:25" x14ac:dyDescent="0.2">
      <c r="A179">
        <v>179</v>
      </c>
      <c r="B179" t="s">
        <v>186</v>
      </c>
      <c r="C179">
        <v>921.05608042124402</v>
      </c>
      <c r="D179">
        <v>11.7550804914541</v>
      </c>
      <c r="E179">
        <v>677.67990696838103</v>
      </c>
      <c r="F179">
        <v>740.993517375088</v>
      </c>
      <c r="G179">
        <v>-26.423599889982299</v>
      </c>
      <c r="H179">
        <v>6203.6022417182803</v>
      </c>
      <c r="I179" t="s">
        <v>9</v>
      </c>
      <c r="J179" t="s">
        <v>9</v>
      </c>
      <c r="L179">
        <v>32</v>
      </c>
      <c r="M179">
        <f>G179*-1</f>
        <v>26.423599889982299</v>
      </c>
      <c r="N179">
        <v>209</v>
      </c>
      <c r="O179" t="s">
        <v>186</v>
      </c>
      <c r="P179" s="11" t="s">
        <v>513</v>
      </c>
      <c r="Q179" s="5" t="s">
        <v>513</v>
      </c>
      <c r="R179" t="s">
        <v>258</v>
      </c>
      <c r="S179" t="s">
        <v>514</v>
      </c>
      <c r="T179" t="s">
        <v>514</v>
      </c>
      <c r="U179" t="s">
        <v>260</v>
      </c>
      <c r="V179" s="4" t="s">
        <v>515</v>
      </c>
      <c r="W179">
        <v>3612</v>
      </c>
      <c r="X179" s="6" t="s">
        <v>262</v>
      </c>
      <c r="Y179" t="s">
        <v>516</v>
      </c>
    </row>
    <row r="180" spans="1:25" x14ac:dyDescent="0.2">
      <c r="A180">
        <v>180</v>
      </c>
      <c r="B180" t="s">
        <v>187</v>
      </c>
      <c r="C180">
        <v>917.05537235456995</v>
      </c>
      <c r="D180">
        <v>10.4026159571695</v>
      </c>
      <c r="E180">
        <v>658.86062226564002</v>
      </c>
      <c r="F180">
        <v>748.875815078708</v>
      </c>
      <c r="G180">
        <v>-28.1547611924465</v>
      </c>
      <c r="H180">
        <v>7098.9182159760803</v>
      </c>
      <c r="I180" t="s">
        <v>9</v>
      </c>
      <c r="J180" t="s">
        <v>9</v>
      </c>
      <c r="L180">
        <v>29</v>
      </c>
      <c r="M180">
        <f>G180*-1</f>
        <v>28.1547611924465</v>
      </c>
      <c r="N180">
        <v>212</v>
      </c>
      <c r="O180" t="s">
        <v>187</v>
      </c>
      <c r="P180" s="11" t="s">
        <v>187</v>
      </c>
      <c r="Q180" s="5" t="s">
        <v>187</v>
      </c>
      <c r="R180" t="s">
        <v>258</v>
      </c>
      <c r="S180" t="s">
        <v>301</v>
      </c>
      <c r="T180" t="s">
        <v>301</v>
      </c>
      <c r="U180" t="s">
        <v>260</v>
      </c>
      <c r="V180" s="4" t="s">
        <v>301</v>
      </c>
      <c r="W180">
        <v>1071</v>
      </c>
      <c r="X180" s="6" t="s">
        <v>262</v>
      </c>
      <c r="Y180" t="s">
        <v>302</v>
      </c>
    </row>
    <row r="181" spans="1:25" x14ac:dyDescent="0.2">
      <c r="A181">
        <v>181</v>
      </c>
      <c r="B181" t="s">
        <v>188</v>
      </c>
      <c r="C181">
        <v>134.075091353407</v>
      </c>
      <c r="D181">
        <v>139.89877728888999</v>
      </c>
      <c r="E181">
        <v>169.240155733546</v>
      </c>
      <c r="F181">
        <v>228.24414811932601</v>
      </c>
      <c r="G181">
        <v>26.227887689777901</v>
      </c>
      <c r="H181">
        <v>63.149494614955501</v>
      </c>
      <c r="I181" s="1">
        <v>2.2632223201891199E-9</v>
      </c>
      <c r="J181" s="1">
        <v>2.9118710243355499E-9</v>
      </c>
      <c r="L181">
        <v>239</v>
      </c>
      <c r="M181">
        <f>G181*-1</f>
        <v>-26.227887689777901</v>
      </c>
      <c r="N181">
        <v>2</v>
      </c>
      <c r="O181" t="s">
        <v>188</v>
      </c>
      <c r="P181" s="11" t="s">
        <v>397</v>
      </c>
      <c r="Q181" s="5" t="s">
        <v>397</v>
      </c>
      <c r="R181" t="s">
        <v>398</v>
      </c>
      <c r="S181" t="s">
        <v>399</v>
      </c>
      <c r="T181" t="s">
        <v>399</v>
      </c>
      <c r="U181" t="s">
        <v>260</v>
      </c>
      <c r="V181" s="4" t="s">
        <v>400</v>
      </c>
      <c r="W181">
        <v>5434</v>
      </c>
      <c r="X181" s="6" t="s">
        <v>262</v>
      </c>
      <c r="Y181" t="s">
        <v>401</v>
      </c>
    </row>
    <row r="182" spans="1:25" x14ac:dyDescent="0.2">
      <c r="A182">
        <v>182</v>
      </c>
      <c r="B182" t="s">
        <v>189</v>
      </c>
      <c r="C182">
        <v>921.84836401310997</v>
      </c>
      <c r="D182">
        <v>13.175510126546801</v>
      </c>
      <c r="E182">
        <v>689.60146785424195</v>
      </c>
      <c r="F182">
        <v>745.69386413806399</v>
      </c>
      <c r="G182">
        <v>-25.193611577051701</v>
      </c>
      <c r="H182">
        <v>5559.69633794743</v>
      </c>
      <c r="I182" t="s">
        <v>9</v>
      </c>
      <c r="J182" t="s">
        <v>9</v>
      </c>
      <c r="L182">
        <v>39</v>
      </c>
      <c r="M182">
        <f>G182*-1</f>
        <v>25.193611577051701</v>
      </c>
      <c r="N182">
        <v>202</v>
      </c>
      <c r="O182" t="s">
        <v>189</v>
      </c>
      <c r="P182" s="11" t="s">
        <v>636</v>
      </c>
      <c r="Q182" s="5" t="s">
        <v>636</v>
      </c>
      <c r="R182" t="s">
        <v>414</v>
      </c>
      <c r="S182" t="s">
        <v>637</v>
      </c>
      <c r="T182" t="s">
        <v>637</v>
      </c>
      <c r="U182" t="s">
        <v>260</v>
      </c>
      <c r="V182" s="4" t="s">
        <v>634</v>
      </c>
      <c r="W182">
        <v>5315</v>
      </c>
      <c r="X182" s="6" t="s">
        <v>262</v>
      </c>
      <c r="Y182" t="s">
        <v>635</v>
      </c>
    </row>
    <row r="183" spans="1:25" x14ac:dyDescent="0.2">
      <c r="A183">
        <v>183</v>
      </c>
      <c r="B183" t="s">
        <v>190</v>
      </c>
      <c r="C183">
        <v>906.36403487862503</v>
      </c>
      <c r="D183">
        <v>21.740986593817201</v>
      </c>
      <c r="E183">
        <v>661.31071067733603</v>
      </c>
      <c r="F183">
        <v>733.12768706873896</v>
      </c>
      <c r="G183">
        <v>-27.036964704155</v>
      </c>
      <c r="H183">
        <v>3272.0994394855602</v>
      </c>
      <c r="I183" s="1">
        <v>8.1526909937115997E-6</v>
      </c>
      <c r="J183" t="s">
        <v>9</v>
      </c>
      <c r="L183">
        <v>31</v>
      </c>
      <c r="M183">
        <f>G183*-1</f>
        <v>27.036964704155</v>
      </c>
      <c r="N183">
        <v>210</v>
      </c>
      <c r="O183" t="s">
        <v>190</v>
      </c>
      <c r="P183" s="11" t="s">
        <v>190</v>
      </c>
      <c r="Q183" s="5" t="s">
        <v>190</v>
      </c>
      <c r="R183" t="s">
        <v>303</v>
      </c>
      <c r="S183" t="s">
        <v>568</v>
      </c>
      <c r="T183" t="s">
        <v>568</v>
      </c>
      <c r="U183" t="s">
        <v>260</v>
      </c>
      <c r="X183" s="6" t="s">
        <v>262</v>
      </c>
    </row>
    <row r="184" spans="1:25" x14ac:dyDescent="0.2">
      <c r="A184">
        <v>184</v>
      </c>
      <c r="B184" t="s">
        <v>191</v>
      </c>
      <c r="C184">
        <v>373.01286807295099</v>
      </c>
      <c r="D184">
        <v>53.702535158766501</v>
      </c>
      <c r="E184">
        <v>322.92899365232103</v>
      </c>
      <c r="F184">
        <v>298.49795947624102</v>
      </c>
      <c r="G184">
        <v>-13.4268489661958</v>
      </c>
      <c r="H184">
        <v>455.835881106469</v>
      </c>
      <c r="I184" s="1">
        <v>2.5017731306754901E-8</v>
      </c>
      <c r="J184" s="1">
        <v>2.3656760509669701E-8</v>
      </c>
      <c r="L184">
        <v>103</v>
      </c>
      <c r="M184">
        <f>G184*-1</f>
        <v>13.4268489661958</v>
      </c>
      <c r="N184">
        <v>138</v>
      </c>
      <c r="O184" t="s">
        <v>191</v>
      </c>
      <c r="P184" s="11" t="s">
        <v>191</v>
      </c>
      <c r="Q184" s="5" t="s">
        <v>191</v>
      </c>
      <c r="R184" t="s">
        <v>258</v>
      </c>
      <c r="S184" t="s">
        <v>522</v>
      </c>
      <c r="T184" t="s">
        <v>522</v>
      </c>
      <c r="U184" t="s">
        <v>260</v>
      </c>
      <c r="V184" s="4" t="s">
        <v>523</v>
      </c>
      <c r="W184">
        <v>2081</v>
      </c>
      <c r="X184" s="6" t="s">
        <v>262</v>
      </c>
      <c r="Y184" t="s">
        <v>524</v>
      </c>
    </row>
    <row r="185" spans="1:25" x14ac:dyDescent="0.2">
      <c r="A185">
        <v>185</v>
      </c>
      <c r="B185" t="s">
        <v>192</v>
      </c>
      <c r="C185">
        <v>436.33158578812203</v>
      </c>
      <c r="D185">
        <v>9.4707573494285295</v>
      </c>
      <c r="E185">
        <v>287.28912828488501</v>
      </c>
      <c r="F185">
        <v>425.41831307157798</v>
      </c>
      <c r="G185">
        <v>-34.1580720621062</v>
      </c>
      <c r="H185">
        <v>4391.9143989814902</v>
      </c>
      <c r="I185" s="1">
        <v>4.4069366055344497E-8</v>
      </c>
      <c r="J185" s="1">
        <v>1.1829381052540299E-8</v>
      </c>
      <c r="L185">
        <v>9</v>
      </c>
      <c r="M185">
        <f>G185*-1</f>
        <v>34.1580720621062</v>
      </c>
      <c r="N185">
        <v>232</v>
      </c>
      <c r="O185" t="s">
        <v>192</v>
      </c>
      <c r="P185" s="11" t="s">
        <v>192</v>
      </c>
      <c r="Q185" s="5" t="s">
        <v>192</v>
      </c>
      <c r="R185" t="s">
        <v>398</v>
      </c>
      <c r="S185" t="s">
        <v>399</v>
      </c>
      <c r="T185" t="s">
        <v>399</v>
      </c>
      <c r="U185" t="s">
        <v>260</v>
      </c>
      <c r="V185" s="4" t="s">
        <v>402</v>
      </c>
      <c r="W185">
        <v>203068</v>
      </c>
      <c r="X185" s="6" t="s">
        <v>262</v>
      </c>
      <c r="Y185" t="s">
        <v>403</v>
      </c>
    </row>
    <row r="186" spans="1:25" x14ac:dyDescent="0.2">
      <c r="A186">
        <v>186</v>
      </c>
      <c r="B186" t="s">
        <v>193</v>
      </c>
      <c r="C186">
        <v>912.45527588970799</v>
      </c>
      <c r="D186">
        <v>15.1702640536929</v>
      </c>
      <c r="E186">
        <v>689.79925356602496</v>
      </c>
      <c r="F186">
        <v>741.33141491563504</v>
      </c>
      <c r="G186">
        <v>-24.4018559821004</v>
      </c>
      <c r="H186">
        <v>4786.7403513333802</v>
      </c>
      <c r="I186" t="s">
        <v>9</v>
      </c>
      <c r="J186" t="s">
        <v>9</v>
      </c>
      <c r="L186">
        <v>45</v>
      </c>
      <c r="M186">
        <f>G186*-1</f>
        <v>24.4018559821004</v>
      </c>
      <c r="N186">
        <v>196</v>
      </c>
      <c r="O186" t="s">
        <v>193</v>
      </c>
      <c r="P186" s="11" t="s">
        <v>697</v>
      </c>
      <c r="Q186" s="5" t="s">
        <v>697</v>
      </c>
      <c r="R186" t="s">
        <v>258</v>
      </c>
      <c r="S186" t="s">
        <v>695</v>
      </c>
      <c r="T186" t="s">
        <v>695</v>
      </c>
      <c r="U186" t="s">
        <v>260</v>
      </c>
      <c r="V186" s="4" t="s">
        <v>695</v>
      </c>
      <c r="W186">
        <v>6713</v>
      </c>
      <c r="X186" s="6" t="s">
        <v>262</v>
      </c>
      <c r="Y186" t="s">
        <v>696</v>
      </c>
    </row>
    <row r="187" spans="1:25" x14ac:dyDescent="0.2">
      <c r="A187">
        <v>187</v>
      </c>
      <c r="B187" t="s">
        <v>194</v>
      </c>
      <c r="C187">
        <v>924.76363391963105</v>
      </c>
      <c r="D187">
        <v>12.9907245613957</v>
      </c>
      <c r="E187">
        <v>688.75414763701804</v>
      </c>
      <c r="F187">
        <v>736.82885622450999</v>
      </c>
      <c r="G187">
        <v>-25.5210604770736</v>
      </c>
      <c r="H187">
        <v>5571.9611961763203</v>
      </c>
      <c r="I187" t="s">
        <v>9</v>
      </c>
      <c r="J187" t="s">
        <v>9</v>
      </c>
      <c r="L187">
        <v>38</v>
      </c>
      <c r="M187">
        <f>G187*-1</f>
        <v>25.5210604770736</v>
      </c>
      <c r="N187">
        <v>203</v>
      </c>
      <c r="O187" t="s">
        <v>194</v>
      </c>
      <c r="P187" s="11" t="s">
        <v>669</v>
      </c>
      <c r="Q187" s="5" t="s">
        <v>669</v>
      </c>
      <c r="R187" t="s">
        <v>518</v>
      </c>
      <c r="S187" t="s">
        <v>668</v>
      </c>
      <c r="T187" t="s">
        <v>668</v>
      </c>
      <c r="U187" t="s">
        <v>260</v>
      </c>
      <c r="X187" s="6" t="s">
        <v>262</v>
      </c>
    </row>
    <row r="188" spans="1:25" x14ac:dyDescent="0.2">
      <c r="A188">
        <v>188</v>
      </c>
      <c r="B188" t="s">
        <v>195</v>
      </c>
      <c r="C188">
        <v>911.70137788199804</v>
      </c>
      <c r="D188">
        <v>6.4340062510428799</v>
      </c>
      <c r="E188">
        <v>616.64724422824702</v>
      </c>
      <c r="F188">
        <v>729.500155728462</v>
      </c>
      <c r="G188">
        <v>-32.363023772016298</v>
      </c>
      <c r="H188">
        <v>11238.194699612201</v>
      </c>
      <c r="I188" t="s">
        <v>9</v>
      </c>
      <c r="J188" t="s">
        <v>9</v>
      </c>
      <c r="L188">
        <v>15</v>
      </c>
      <c r="M188">
        <f>G188*-1</f>
        <v>32.363023772016298</v>
      </c>
      <c r="N188">
        <v>226</v>
      </c>
      <c r="O188" t="s">
        <v>195</v>
      </c>
      <c r="P188" s="11" t="s">
        <v>195</v>
      </c>
      <c r="Q188" s="5" t="s">
        <v>195</v>
      </c>
      <c r="R188" t="s">
        <v>299</v>
      </c>
      <c r="S188" t="s">
        <v>653</v>
      </c>
      <c r="T188" t="s">
        <v>653</v>
      </c>
      <c r="U188" t="s">
        <v>260</v>
      </c>
      <c r="V188" s="4" t="s">
        <v>654</v>
      </c>
      <c r="W188">
        <v>5914</v>
      </c>
      <c r="X188" s="6" t="s">
        <v>262</v>
      </c>
      <c r="Y188" t="s">
        <v>655</v>
      </c>
    </row>
    <row r="189" spans="1:25" x14ac:dyDescent="0.2">
      <c r="A189">
        <v>189</v>
      </c>
      <c r="B189" t="s">
        <v>196</v>
      </c>
      <c r="C189">
        <v>308.48284299893498</v>
      </c>
      <c r="D189">
        <v>43.455060837551301</v>
      </c>
      <c r="E189">
        <v>206.43686017241001</v>
      </c>
      <c r="F189">
        <v>263.396631747117</v>
      </c>
      <c r="G189">
        <v>-33.0799540857696</v>
      </c>
      <c r="H189">
        <v>506.13568746751201</v>
      </c>
      <c r="I189" s="1">
        <v>1.37959778481152E-8</v>
      </c>
      <c r="J189" s="1">
        <v>5.5612649887509899E-9</v>
      </c>
      <c r="L189">
        <v>12</v>
      </c>
      <c r="M189">
        <f>G189*-1</f>
        <v>33.0799540857696</v>
      </c>
      <c r="N189">
        <v>229</v>
      </c>
      <c r="O189" t="s">
        <v>196</v>
      </c>
      <c r="P189" s="11" t="s">
        <v>404</v>
      </c>
      <c r="Q189" s="5" t="s">
        <v>404</v>
      </c>
      <c r="R189" t="s">
        <v>398</v>
      </c>
      <c r="S189" t="s">
        <v>399</v>
      </c>
      <c r="T189" t="s">
        <v>399</v>
      </c>
      <c r="U189" t="s">
        <v>260</v>
      </c>
      <c r="V189" s="4" t="s">
        <v>402</v>
      </c>
      <c r="W189">
        <v>203068</v>
      </c>
      <c r="X189" s="6" t="s">
        <v>262</v>
      </c>
      <c r="Y189" t="s">
        <v>403</v>
      </c>
    </row>
    <row r="190" spans="1:25" x14ac:dyDescent="0.2">
      <c r="A190">
        <v>190</v>
      </c>
      <c r="B190" t="s">
        <v>197</v>
      </c>
      <c r="C190">
        <v>914.74760447761605</v>
      </c>
      <c r="D190">
        <v>72.579325252497995</v>
      </c>
      <c r="E190">
        <v>653.99810377083395</v>
      </c>
      <c r="F190">
        <v>737.54280892011195</v>
      </c>
      <c r="G190">
        <v>-28.505076092075502</v>
      </c>
      <c r="H190">
        <v>916.18857209578198</v>
      </c>
      <c r="I190" s="1">
        <v>1.4070125698448201E-5</v>
      </c>
      <c r="J190" t="s">
        <v>9</v>
      </c>
      <c r="L190">
        <v>27</v>
      </c>
      <c r="M190">
        <f>G190*-1</f>
        <v>28.505076092075502</v>
      </c>
      <c r="N190">
        <v>214</v>
      </c>
      <c r="O190" t="s">
        <v>197</v>
      </c>
      <c r="P190" s="12" t="s">
        <v>197</v>
      </c>
      <c r="Q190" s="9" t="s">
        <v>197</v>
      </c>
      <c r="R190" s="8" t="s">
        <v>361</v>
      </c>
      <c r="S190" s="8" t="s">
        <v>391</v>
      </c>
      <c r="T190" s="8" t="s">
        <v>391</v>
      </c>
      <c r="U190" s="8" t="s">
        <v>364</v>
      </c>
      <c r="V190" s="10" t="s">
        <v>391</v>
      </c>
      <c r="W190" s="8">
        <v>1723</v>
      </c>
      <c r="X190" s="8" t="s">
        <v>262</v>
      </c>
      <c r="Y190" s="8" t="s">
        <v>392</v>
      </c>
    </row>
    <row r="191" spans="1:25" x14ac:dyDescent="0.2">
      <c r="A191">
        <v>191</v>
      </c>
      <c r="B191" t="s">
        <v>198</v>
      </c>
      <c r="C191">
        <v>917.87778956802595</v>
      </c>
      <c r="D191">
        <v>12.458190398295301</v>
      </c>
      <c r="E191">
        <v>695.450824037139</v>
      </c>
      <c r="F191">
        <v>742.25913330727894</v>
      </c>
      <c r="G191">
        <v>-24.232742970669999</v>
      </c>
      <c r="H191">
        <v>5858.0011990252297</v>
      </c>
      <c r="I191" t="s">
        <v>9</v>
      </c>
      <c r="J191" t="s">
        <v>9</v>
      </c>
      <c r="L191">
        <v>46</v>
      </c>
      <c r="M191">
        <f>G191*-1</f>
        <v>24.232742970669999</v>
      </c>
      <c r="N191">
        <v>195</v>
      </c>
      <c r="O191" t="s">
        <v>198</v>
      </c>
      <c r="P191" s="11" t="s">
        <v>325</v>
      </c>
      <c r="Q191" s="5" t="s">
        <v>325</v>
      </c>
      <c r="R191" t="s">
        <v>258</v>
      </c>
      <c r="S191" t="s">
        <v>326</v>
      </c>
      <c r="T191" t="s">
        <v>326</v>
      </c>
      <c r="U191" t="s">
        <v>260</v>
      </c>
      <c r="V191" s="4" t="s">
        <v>327</v>
      </c>
      <c r="W191">
        <v>1066</v>
      </c>
      <c r="X191" s="6" t="s">
        <v>262</v>
      </c>
      <c r="Y191" t="s">
        <v>328</v>
      </c>
    </row>
    <row r="192" spans="1:25" x14ac:dyDescent="0.2">
      <c r="A192">
        <v>192</v>
      </c>
      <c r="B192" t="s">
        <v>199</v>
      </c>
      <c r="C192">
        <v>916.39466001453195</v>
      </c>
      <c r="D192">
        <v>13.044140658846</v>
      </c>
      <c r="E192">
        <v>647.07100199248396</v>
      </c>
      <c r="F192">
        <v>737.72988140011603</v>
      </c>
      <c r="G192">
        <v>-29.3894835678961</v>
      </c>
      <c r="H192">
        <v>5555.6418754946199</v>
      </c>
      <c r="I192" t="s">
        <v>9</v>
      </c>
      <c r="J192" t="s">
        <v>9</v>
      </c>
      <c r="L192">
        <v>25</v>
      </c>
      <c r="M192">
        <f>G192*-1</f>
        <v>29.3894835678961</v>
      </c>
      <c r="N192">
        <v>216</v>
      </c>
      <c r="O192" t="s">
        <v>199</v>
      </c>
      <c r="P192" s="11" t="s">
        <v>199</v>
      </c>
      <c r="Q192" s="5" t="s">
        <v>199</v>
      </c>
      <c r="R192" t="s">
        <v>258</v>
      </c>
      <c r="S192" t="s">
        <v>422</v>
      </c>
      <c r="T192" t="s">
        <v>422</v>
      </c>
      <c r="U192" t="s">
        <v>260</v>
      </c>
      <c r="V192" s="4" t="s">
        <v>422</v>
      </c>
      <c r="W192">
        <v>355</v>
      </c>
      <c r="X192" s="6" t="s">
        <v>262</v>
      </c>
      <c r="Y192" t="s">
        <v>423</v>
      </c>
    </row>
    <row r="193" spans="1:25" x14ac:dyDescent="0.2">
      <c r="A193">
        <v>193</v>
      </c>
      <c r="B193" t="s">
        <v>200</v>
      </c>
      <c r="C193">
        <v>533.64944114724801</v>
      </c>
      <c r="D193">
        <v>345.83294854992499</v>
      </c>
      <c r="E193">
        <v>374.01941674822899</v>
      </c>
      <c r="F193">
        <v>769.55457672633804</v>
      </c>
      <c r="G193">
        <v>-29.9129001345609</v>
      </c>
      <c r="H193">
        <v>122.522052902441</v>
      </c>
      <c r="I193" s="1">
        <v>1.08954720138212E-7</v>
      </c>
      <c r="J193" s="1">
        <v>9.6363300008815698E-9</v>
      </c>
      <c r="L193">
        <v>24</v>
      </c>
      <c r="M193">
        <f>G193*-1</f>
        <v>29.9129001345609</v>
      </c>
      <c r="N193">
        <v>217</v>
      </c>
      <c r="O193" t="s">
        <v>200</v>
      </c>
      <c r="P193" s="12" t="s">
        <v>200</v>
      </c>
      <c r="Q193" s="9" t="s">
        <v>200</v>
      </c>
      <c r="R193" s="8" t="s">
        <v>361</v>
      </c>
      <c r="S193" s="8" t="s">
        <v>506</v>
      </c>
      <c r="T193" s="8" t="s">
        <v>507</v>
      </c>
      <c r="U193" s="8" t="s">
        <v>364</v>
      </c>
      <c r="V193" s="10" t="s">
        <v>508</v>
      </c>
      <c r="W193" s="8">
        <v>3614</v>
      </c>
      <c r="X193" s="8" t="s">
        <v>262</v>
      </c>
      <c r="Y193" s="8" t="s">
        <v>509</v>
      </c>
    </row>
    <row r="194" spans="1:25" x14ac:dyDescent="0.2">
      <c r="A194">
        <v>194</v>
      </c>
      <c r="B194" t="s">
        <v>201</v>
      </c>
      <c r="C194">
        <v>930.83542539655798</v>
      </c>
      <c r="D194">
        <v>9.9809344972657801</v>
      </c>
      <c r="E194">
        <v>827.61481637530403</v>
      </c>
      <c r="F194">
        <v>644.994780140545</v>
      </c>
      <c r="G194">
        <v>-11.0890288664379</v>
      </c>
      <c r="H194">
        <v>6362.2684410686998</v>
      </c>
      <c r="I194" t="s">
        <v>9</v>
      </c>
      <c r="J194" t="s">
        <v>9</v>
      </c>
      <c r="L194">
        <v>116</v>
      </c>
      <c r="M194">
        <f>G194*-1</f>
        <v>11.0890288664379</v>
      </c>
      <c r="N194">
        <v>125</v>
      </c>
      <c r="O194" t="s">
        <v>201</v>
      </c>
      <c r="P194" s="11" t="s">
        <v>736</v>
      </c>
      <c r="Q194" s="5" t="s">
        <v>736</v>
      </c>
      <c r="R194" t="s">
        <v>737</v>
      </c>
      <c r="S194" t="s">
        <v>729</v>
      </c>
      <c r="T194" t="s">
        <v>729</v>
      </c>
      <c r="U194" t="s">
        <v>260</v>
      </c>
      <c r="X194" s="6" t="s">
        <v>262</v>
      </c>
    </row>
    <row r="195" spans="1:25" x14ac:dyDescent="0.2">
      <c r="A195">
        <v>195</v>
      </c>
      <c r="B195" t="s">
        <v>202</v>
      </c>
      <c r="C195">
        <v>932.20035300207905</v>
      </c>
      <c r="D195">
        <v>8.6871230318839796</v>
      </c>
      <c r="E195">
        <v>814.64456008994102</v>
      </c>
      <c r="F195">
        <v>644.28616779619199</v>
      </c>
      <c r="G195">
        <v>-12.610571593709301</v>
      </c>
      <c r="H195">
        <v>7316.5654777939098</v>
      </c>
      <c r="I195" t="s">
        <v>9</v>
      </c>
      <c r="J195" t="s">
        <v>9</v>
      </c>
      <c r="L195">
        <v>108</v>
      </c>
      <c r="M195">
        <f>G195*-1</f>
        <v>12.610571593709301</v>
      </c>
      <c r="N195">
        <v>133</v>
      </c>
      <c r="O195" t="s">
        <v>202</v>
      </c>
      <c r="P195" s="11" t="s">
        <v>202</v>
      </c>
      <c r="Q195" s="5" t="s">
        <v>202</v>
      </c>
      <c r="R195" t="s">
        <v>518</v>
      </c>
      <c r="S195" t="s">
        <v>680</v>
      </c>
      <c r="T195" t="s">
        <v>680</v>
      </c>
      <c r="U195" t="s">
        <v>260</v>
      </c>
      <c r="V195" s="4" t="s">
        <v>680</v>
      </c>
      <c r="W195">
        <v>6557</v>
      </c>
      <c r="X195" s="6" t="s">
        <v>262</v>
      </c>
      <c r="Y195" t="s">
        <v>681</v>
      </c>
    </row>
    <row r="196" spans="1:25" x14ac:dyDescent="0.2">
      <c r="A196">
        <v>196</v>
      </c>
      <c r="B196" t="s">
        <v>203</v>
      </c>
      <c r="C196">
        <v>943.42891684628103</v>
      </c>
      <c r="D196">
        <v>7.7972289918088897</v>
      </c>
      <c r="E196">
        <v>765.82734068478101</v>
      </c>
      <c r="F196">
        <v>706.28328514461703</v>
      </c>
      <c r="G196">
        <v>-18.8251147479337</v>
      </c>
      <c r="H196">
        <v>8958.1318810384892</v>
      </c>
      <c r="I196" t="s">
        <v>9</v>
      </c>
      <c r="J196" t="s">
        <v>9</v>
      </c>
      <c r="L196">
        <v>72</v>
      </c>
      <c r="M196">
        <f>G196*-1</f>
        <v>18.8251147479337</v>
      </c>
      <c r="N196">
        <v>169</v>
      </c>
      <c r="O196" t="s">
        <v>203</v>
      </c>
      <c r="P196" s="11" t="s">
        <v>504</v>
      </c>
      <c r="Q196" s="5" t="s">
        <v>504</v>
      </c>
      <c r="R196" t="s">
        <v>494</v>
      </c>
      <c r="S196" t="s">
        <v>501</v>
      </c>
      <c r="T196" t="s">
        <v>501</v>
      </c>
      <c r="U196" t="s">
        <v>260</v>
      </c>
      <c r="V196" s="4" t="s">
        <v>502</v>
      </c>
      <c r="W196">
        <v>3418</v>
      </c>
      <c r="X196" s="6" t="s">
        <v>262</v>
      </c>
      <c r="Y196" t="s">
        <v>503</v>
      </c>
    </row>
    <row r="197" spans="1:25" x14ac:dyDescent="0.2">
      <c r="A197">
        <v>197</v>
      </c>
      <c r="B197" t="s">
        <v>204</v>
      </c>
      <c r="C197">
        <v>260.43243405651702</v>
      </c>
      <c r="D197">
        <v>109.697600836726</v>
      </c>
      <c r="E197">
        <v>229.15827176413299</v>
      </c>
      <c r="F197">
        <v>261.44621206262599</v>
      </c>
      <c r="G197">
        <v>-12.008551241200999</v>
      </c>
      <c r="H197">
        <v>138.333573449581</v>
      </c>
      <c r="I197" s="1">
        <v>7.1990668958672E-9</v>
      </c>
      <c r="J197" s="1">
        <v>6.2611983098518503E-9</v>
      </c>
      <c r="L197">
        <v>113</v>
      </c>
      <c r="M197">
        <f>G197*-1</f>
        <v>12.008551241200999</v>
      </c>
      <c r="N197">
        <v>128</v>
      </c>
      <c r="O197" t="s">
        <v>204</v>
      </c>
      <c r="P197" s="11" t="s">
        <v>204</v>
      </c>
      <c r="Q197" s="5" t="s">
        <v>204</v>
      </c>
      <c r="R197" t="s">
        <v>303</v>
      </c>
      <c r="S197" t="s">
        <v>714</v>
      </c>
      <c r="T197" t="s">
        <v>714</v>
      </c>
      <c r="U197" t="s">
        <v>260</v>
      </c>
      <c r="V197" s="4" t="s">
        <v>715</v>
      </c>
      <c r="W197">
        <v>7296</v>
      </c>
      <c r="X197" s="6" t="s">
        <v>262</v>
      </c>
      <c r="Y197" t="s">
        <v>716</v>
      </c>
    </row>
    <row r="198" spans="1:25" x14ac:dyDescent="0.2">
      <c r="A198">
        <v>198</v>
      </c>
      <c r="B198" t="s">
        <v>205</v>
      </c>
      <c r="C198">
        <v>763.68029821329901</v>
      </c>
      <c r="D198">
        <v>6.0733588165091703</v>
      </c>
      <c r="E198">
        <v>652.03201674854404</v>
      </c>
      <c r="F198">
        <v>504.59519186271302</v>
      </c>
      <c r="G198">
        <v>-14.619767162511099</v>
      </c>
      <c r="H198">
        <v>8208.3382212010201</v>
      </c>
      <c r="I198" s="1">
        <v>1.9325449165452199E-6</v>
      </c>
      <c r="J198" s="1">
        <v>1.16629834620747E-6</v>
      </c>
      <c r="L198">
        <v>100</v>
      </c>
      <c r="M198">
        <f>G198*-1</f>
        <v>14.619767162511099</v>
      </c>
      <c r="N198">
        <v>141</v>
      </c>
      <c r="O198" t="s">
        <v>205</v>
      </c>
      <c r="P198" s="11" t="s">
        <v>455</v>
      </c>
      <c r="Q198" s="5" t="s">
        <v>455</v>
      </c>
      <c r="R198" t="s">
        <v>303</v>
      </c>
      <c r="S198" t="s">
        <v>456</v>
      </c>
      <c r="T198" t="s">
        <v>456</v>
      </c>
      <c r="U198" t="s">
        <v>260</v>
      </c>
      <c r="V198" s="4" t="s">
        <v>456</v>
      </c>
      <c r="W198">
        <v>2879</v>
      </c>
      <c r="X198" s="6" t="s">
        <v>262</v>
      </c>
      <c r="Y198" t="s">
        <v>457</v>
      </c>
    </row>
    <row r="199" spans="1:25" x14ac:dyDescent="0.2">
      <c r="A199">
        <v>199</v>
      </c>
      <c r="B199" t="s">
        <v>206</v>
      </c>
      <c r="C199">
        <v>590.96501936355401</v>
      </c>
      <c r="D199">
        <v>13.5213574410219</v>
      </c>
      <c r="E199">
        <v>463.00273771038098</v>
      </c>
      <c r="F199">
        <v>348.055377200691</v>
      </c>
      <c r="G199">
        <v>-21.653105930192599</v>
      </c>
      <c r="H199">
        <v>2474.11564422325</v>
      </c>
      <c r="I199" s="1">
        <v>1.6978956401582199E-7</v>
      </c>
      <c r="J199" s="1">
        <v>1.14017983123449E-7</v>
      </c>
      <c r="L199">
        <v>58</v>
      </c>
      <c r="M199">
        <f>G199*-1</f>
        <v>21.653105930192599</v>
      </c>
      <c r="N199">
        <v>183</v>
      </c>
      <c r="O199" t="s">
        <v>206</v>
      </c>
      <c r="P199" s="11" t="s">
        <v>596</v>
      </c>
      <c r="Q199" s="5" t="s">
        <v>596</v>
      </c>
      <c r="R199" t="s">
        <v>406</v>
      </c>
      <c r="S199" t="s">
        <v>595</v>
      </c>
      <c r="T199" t="s">
        <v>595</v>
      </c>
      <c r="U199" t="s">
        <v>260</v>
      </c>
      <c r="V199" s="4" t="s">
        <v>592</v>
      </c>
      <c r="W199">
        <v>7415</v>
      </c>
      <c r="X199" s="6" t="s">
        <v>262</v>
      </c>
      <c r="Y199" t="s">
        <v>593</v>
      </c>
    </row>
    <row r="200" spans="1:25" x14ac:dyDescent="0.2">
      <c r="A200">
        <v>200</v>
      </c>
      <c r="B200" t="s">
        <v>207</v>
      </c>
      <c r="C200">
        <v>949.53338634925001</v>
      </c>
      <c r="D200">
        <v>8.1478590094816408</v>
      </c>
      <c r="E200">
        <v>794.50599081731696</v>
      </c>
      <c r="F200">
        <v>683.04273501843704</v>
      </c>
      <c r="G200">
        <v>-16.3266924323725</v>
      </c>
      <c r="H200">
        <v>8283.0946782901101</v>
      </c>
      <c r="I200" t="s">
        <v>9</v>
      </c>
      <c r="J200" t="s">
        <v>9</v>
      </c>
      <c r="L200">
        <v>89</v>
      </c>
      <c r="M200">
        <f>G200*-1</f>
        <v>16.3266924323725</v>
      </c>
      <c r="N200">
        <v>152</v>
      </c>
      <c r="O200" t="s">
        <v>207</v>
      </c>
      <c r="P200" s="11" t="s">
        <v>413</v>
      </c>
      <c r="Q200" s="5" t="s">
        <v>413</v>
      </c>
      <c r="R200" t="s">
        <v>414</v>
      </c>
      <c r="S200" t="s">
        <v>415</v>
      </c>
      <c r="T200" t="s">
        <v>415</v>
      </c>
      <c r="U200" t="s">
        <v>260</v>
      </c>
      <c r="V200" s="4" t="s">
        <v>416</v>
      </c>
      <c r="W200">
        <v>2023</v>
      </c>
      <c r="X200" s="6" t="s">
        <v>262</v>
      </c>
      <c r="Y200" t="s">
        <v>417</v>
      </c>
    </row>
    <row r="201" spans="1:25" x14ac:dyDescent="0.2">
      <c r="A201">
        <v>201</v>
      </c>
      <c r="B201" t="s">
        <v>208</v>
      </c>
      <c r="C201">
        <v>962.96635618209905</v>
      </c>
      <c r="D201">
        <v>8.6854517588191804</v>
      </c>
      <c r="E201">
        <v>810.694565427513</v>
      </c>
      <c r="F201">
        <v>670.127320469599</v>
      </c>
      <c r="G201">
        <v>-15.8127840891869</v>
      </c>
      <c r="H201">
        <v>7615.5148526287503</v>
      </c>
      <c r="I201" t="s">
        <v>9</v>
      </c>
      <c r="J201" t="s">
        <v>9</v>
      </c>
      <c r="L201">
        <v>94</v>
      </c>
      <c r="M201">
        <f>G201*-1</f>
        <v>15.8127840891869</v>
      </c>
      <c r="N201">
        <v>147</v>
      </c>
      <c r="O201" t="s">
        <v>208</v>
      </c>
      <c r="P201" s="11" t="s">
        <v>609</v>
      </c>
      <c r="Q201" s="5" t="s">
        <v>609</v>
      </c>
      <c r="R201" t="s">
        <v>308</v>
      </c>
      <c r="S201" t="s">
        <v>610</v>
      </c>
      <c r="T201" t="s">
        <v>610</v>
      </c>
      <c r="U201" t="s">
        <v>260</v>
      </c>
      <c r="V201" s="4" t="s">
        <v>611</v>
      </c>
      <c r="W201">
        <v>5160</v>
      </c>
      <c r="X201" s="6" t="s">
        <v>262</v>
      </c>
      <c r="Y201" t="s">
        <v>612</v>
      </c>
    </row>
    <row r="202" spans="1:25" ht="15" customHeight="1" x14ac:dyDescent="0.2">
      <c r="A202">
        <v>202</v>
      </c>
      <c r="B202" t="s">
        <v>209</v>
      </c>
      <c r="C202">
        <v>934.62521559335005</v>
      </c>
      <c r="D202">
        <v>9.5042152892977096</v>
      </c>
      <c r="E202">
        <v>786.60523959013005</v>
      </c>
      <c r="F202">
        <v>675.94095165106296</v>
      </c>
      <c r="G202">
        <v>-15.837361707521399</v>
      </c>
      <c r="H202">
        <v>7012.0122080169103</v>
      </c>
      <c r="I202" t="s">
        <v>9</v>
      </c>
      <c r="J202" t="s">
        <v>9</v>
      </c>
      <c r="L202">
        <v>93</v>
      </c>
      <c r="M202">
        <f>G202*-1</f>
        <v>15.837361707521399</v>
      </c>
      <c r="N202">
        <v>148</v>
      </c>
      <c r="O202" t="s">
        <v>209</v>
      </c>
      <c r="P202" s="11" t="s">
        <v>728</v>
      </c>
      <c r="Q202" s="5" t="s">
        <v>728</v>
      </c>
      <c r="R202" t="s">
        <v>303</v>
      </c>
      <c r="S202" t="s">
        <v>729</v>
      </c>
      <c r="T202" t="s">
        <v>729</v>
      </c>
      <c r="U202" t="s">
        <v>260</v>
      </c>
      <c r="X202" s="6" t="s">
        <v>262</v>
      </c>
    </row>
    <row r="203" spans="1:25" x14ac:dyDescent="0.2">
      <c r="A203">
        <v>203</v>
      </c>
      <c r="B203" t="s">
        <v>210</v>
      </c>
      <c r="C203">
        <v>1058.9879830626701</v>
      </c>
      <c r="D203">
        <v>2.7537947083492802</v>
      </c>
      <c r="E203">
        <v>1087.9756059507099</v>
      </c>
      <c r="F203">
        <v>388.12529925067201</v>
      </c>
      <c r="G203">
        <v>2.7372947900889502</v>
      </c>
      <c r="H203">
        <v>13994.1987459671</v>
      </c>
      <c r="I203" t="s">
        <v>9</v>
      </c>
      <c r="J203" t="s">
        <v>9</v>
      </c>
      <c r="L203">
        <v>148</v>
      </c>
      <c r="M203">
        <f>G203*-1</f>
        <v>-2.7372947900889502</v>
      </c>
      <c r="N203">
        <v>93</v>
      </c>
      <c r="O203" t="s">
        <v>210</v>
      </c>
      <c r="P203" s="11" t="s">
        <v>443</v>
      </c>
      <c r="Q203" s="5" t="s">
        <v>443</v>
      </c>
      <c r="R203" t="s">
        <v>434</v>
      </c>
      <c r="S203" t="s">
        <v>441</v>
      </c>
      <c r="T203" t="s">
        <v>441</v>
      </c>
      <c r="U203" t="s">
        <v>260</v>
      </c>
      <c r="V203" s="4" t="s">
        <v>441</v>
      </c>
      <c r="W203">
        <v>2744</v>
      </c>
      <c r="X203" s="6" t="s">
        <v>262</v>
      </c>
      <c r="Y203" t="s">
        <v>442</v>
      </c>
    </row>
    <row r="204" spans="1:25" x14ac:dyDescent="0.2">
      <c r="A204">
        <v>204</v>
      </c>
      <c r="B204" t="s">
        <v>211</v>
      </c>
      <c r="C204">
        <v>956.164614787397</v>
      </c>
      <c r="D204">
        <v>5.06784694347445</v>
      </c>
      <c r="E204">
        <v>764.96615607455601</v>
      </c>
      <c r="F204">
        <v>635.98374797497695</v>
      </c>
      <c r="G204">
        <v>-19.996395574140099</v>
      </c>
      <c r="H204">
        <v>12449.3874433973</v>
      </c>
      <c r="I204" t="s">
        <v>9</v>
      </c>
      <c r="J204" s="1">
        <v>6.3748679348616897E-6</v>
      </c>
      <c r="L204">
        <v>65</v>
      </c>
      <c r="M204">
        <f>G204*-1</f>
        <v>19.996395574140099</v>
      </c>
      <c r="N204">
        <v>176</v>
      </c>
      <c r="O204" t="s">
        <v>211</v>
      </c>
      <c r="P204" s="11" t="s">
        <v>685</v>
      </c>
      <c r="Q204" s="5" t="s">
        <v>685</v>
      </c>
      <c r="R204" t="s">
        <v>303</v>
      </c>
      <c r="S204" t="s">
        <v>683</v>
      </c>
      <c r="T204" t="s">
        <v>683</v>
      </c>
      <c r="U204" t="s">
        <v>260</v>
      </c>
      <c r="V204" s="4" t="s">
        <v>683</v>
      </c>
      <c r="W204">
        <v>6647</v>
      </c>
      <c r="X204" s="6" t="s">
        <v>262</v>
      </c>
      <c r="Y204" t="s">
        <v>684</v>
      </c>
    </row>
    <row r="205" spans="1:25" x14ac:dyDescent="0.2">
      <c r="A205">
        <v>205</v>
      </c>
      <c r="B205" t="s">
        <v>212</v>
      </c>
      <c r="C205">
        <v>989.64549930171995</v>
      </c>
      <c r="D205">
        <v>8.0898620432830093</v>
      </c>
      <c r="E205">
        <v>859.83390700665996</v>
      </c>
      <c r="F205">
        <v>639.44676998573698</v>
      </c>
      <c r="G205">
        <v>-13.116978997696901</v>
      </c>
      <c r="H205">
        <v>7804.2975833768096</v>
      </c>
      <c r="I205" t="s">
        <v>9</v>
      </c>
      <c r="J205" t="s">
        <v>9</v>
      </c>
      <c r="L205">
        <v>106</v>
      </c>
      <c r="M205">
        <f>G205*-1</f>
        <v>13.116978997696901</v>
      </c>
      <c r="N205">
        <v>135</v>
      </c>
      <c r="O205" t="s">
        <v>212</v>
      </c>
      <c r="P205" s="11" t="s">
        <v>212</v>
      </c>
      <c r="Q205" s="5" t="s">
        <v>212</v>
      </c>
      <c r="R205" t="s">
        <v>303</v>
      </c>
      <c r="S205" t="s">
        <v>729</v>
      </c>
      <c r="T205" t="s">
        <v>729</v>
      </c>
      <c r="U205" t="s">
        <v>260</v>
      </c>
      <c r="X205" s="6" t="s">
        <v>262</v>
      </c>
    </row>
    <row r="206" spans="1:25" x14ac:dyDescent="0.2">
      <c r="A206">
        <v>206</v>
      </c>
      <c r="B206" t="s">
        <v>213</v>
      </c>
      <c r="C206">
        <v>922.93158322307397</v>
      </c>
      <c r="D206">
        <v>8.8707208031179601</v>
      </c>
      <c r="E206">
        <v>799.46838556923399</v>
      </c>
      <c r="F206">
        <v>659.03036067140704</v>
      </c>
      <c r="G206">
        <v>-13.3772860196939</v>
      </c>
      <c r="H206">
        <v>7329.2763271251297</v>
      </c>
      <c r="I206" t="s">
        <v>9</v>
      </c>
      <c r="J206" t="s">
        <v>9</v>
      </c>
      <c r="L206">
        <v>104</v>
      </c>
      <c r="M206">
        <f>G206*-1</f>
        <v>13.3772860196939</v>
      </c>
      <c r="N206">
        <v>137</v>
      </c>
      <c r="O206" t="s">
        <v>213</v>
      </c>
      <c r="P206" t="s">
        <v>213</v>
      </c>
      <c r="Q206" s="5" t="s">
        <v>545</v>
      </c>
      <c r="R206" t="s">
        <v>518</v>
      </c>
      <c r="S206" t="s">
        <v>546</v>
      </c>
      <c r="T206" t="s">
        <v>546</v>
      </c>
      <c r="U206" t="s">
        <v>260</v>
      </c>
      <c r="V206" s="4" t="s">
        <v>547</v>
      </c>
      <c r="W206">
        <v>6566</v>
      </c>
      <c r="X206" s="6" t="s">
        <v>262</v>
      </c>
      <c r="Y206" t="s">
        <v>548</v>
      </c>
    </row>
    <row r="207" spans="1:25" x14ac:dyDescent="0.2">
      <c r="A207">
        <v>207</v>
      </c>
      <c r="B207" t="s">
        <v>214</v>
      </c>
      <c r="C207">
        <v>939.97732410104697</v>
      </c>
      <c r="D207">
        <v>10.5282899421045</v>
      </c>
      <c r="E207">
        <v>823.95802831512106</v>
      </c>
      <c r="F207">
        <v>679.00576848356604</v>
      </c>
      <c r="G207">
        <v>-12.3427760235473</v>
      </c>
      <c r="H207">
        <v>6349.3452613619902</v>
      </c>
      <c r="I207" t="s">
        <v>9</v>
      </c>
      <c r="J207" t="s">
        <v>9</v>
      </c>
      <c r="L207">
        <v>112</v>
      </c>
      <c r="M207">
        <f>G207*-1</f>
        <v>12.3427760235473</v>
      </c>
      <c r="N207">
        <v>129</v>
      </c>
      <c r="O207" t="s">
        <v>214</v>
      </c>
      <c r="P207" s="11" t="s">
        <v>628</v>
      </c>
      <c r="Q207" s="5" t="s">
        <v>628</v>
      </c>
      <c r="R207" t="s">
        <v>629</v>
      </c>
      <c r="S207" t="s">
        <v>630</v>
      </c>
      <c r="T207" t="s">
        <v>630</v>
      </c>
      <c r="U207" t="s">
        <v>260</v>
      </c>
      <c r="V207" s="4" t="s">
        <v>630</v>
      </c>
      <c r="W207">
        <v>26227</v>
      </c>
      <c r="X207" s="6" t="s">
        <v>262</v>
      </c>
      <c r="Y207" t="s">
        <v>631</v>
      </c>
    </row>
    <row r="208" spans="1:25" x14ac:dyDescent="0.2">
      <c r="A208">
        <v>208</v>
      </c>
      <c r="B208" t="s">
        <v>215</v>
      </c>
      <c r="C208">
        <v>945.37569092836804</v>
      </c>
      <c r="D208">
        <v>9.0578125393819793</v>
      </c>
      <c r="E208">
        <v>799.36334619258605</v>
      </c>
      <c r="F208">
        <v>662.810417327648</v>
      </c>
      <c r="G208">
        <v>-15.444901549393199</v>
      </c>
      <c r="H208">
        <v>7217.5550326952498</v>
      </c>
      <c r="I208" t="s">
        <v>9</v>
      </c>
      <c r="J208" t="s">
        <v>9</v>
      </c>
      <c r="L208">
        <v>96</v>
      </c>
      <c r="M208">
        <f>G208*-1</f>
        <v>15.444901549393199</v>
      </c>
      <c r="N208">
        <v>145</v>
      </c>
      <c r="O208" t="s">
        <v>215</v>
      </c>
      <c r="P208" s="11" t="s">
        <v>215</v>
      </c>
      <c r="Q208" s="5" t="s">
        <v>215</v>
      </c>
      <c r="R208" t="s">
        <v>303</v>
      </c>
      <c r="S208" t="s">
        <v>461</v>
      </c>
      <c r="T208" t="s">
        <v>461</v>
      </c>
      <c r="U208" t="s">
        <v>260</v>
      </c>
      <c r="V208" s="4" t="s">
        <v>382</v>
      </c>
      <c r="X208" s="6" t="s">
        <v>262</v>
      </c>
    </row>
    <row r="209" spans="1:25" x14ac:dyDescent="0.2">
      <c r="A209">
        <v>209</v>
      </c>
      <c r="B209" t="s">
        <v>216</v>
      </c>
      <c r="C209">
        <v>908.109764411843</v>
      </c>
      <c r="D209">
        <v>7.9393630255515601</v>
      </c>
      <c r="E209">
        <v>795.39193577687104</v>
      </c>
      <c r="F209">
        <v>656.78278907779998</v>
      </c>
      <c r="G209">
        <v>-12.4123572999984</v>
      </c>
      <c r="H209">
        <v>8172.4871877510896</v>
      </c>
      <c r="I209" t="s">
        <v>9</v>
      </c>
      <c r="J209" t="s">
        <v>9</v>
      </c>
      <c r="L209">
        <v>109</v>
      </c>
      <c r="M209">
        <f>G209*-1</f>
        <v>12.4123572999984</v>
      </c>
      <c r="N209">
        <v>132</v>
      </c>
      <c r="O209" t="s">
        <v>216</v>
      </c>
      <c r="P209" s="11" t="s">
        <v>638</v>
      </c>
      <c r="Q209" s="5" t="s">
        <v>638</v>
      </c>
      <c r="R209" t="s">
        <v>414</v>
      </c>
      <c r="S209" t="s">
        <v>637</v>
      </c>
      <c r="T209" t="s">
        <v>637</v>
      </c>
      <c r="U209" t="s">
        <v>260</v>
      </c>
      <c r="V209" s="4" t="s">
        <v>634</v>
      </c>
      <c r="W209">
        <v>5315</v>
      </c>
      <c r="X209" s="6" t="s">
        <v>262</v>
      </c>
      <c r="Y209" t="s">
        <v>635</v>
      </c>
    </row>
    <row r="210" spans="1:25" x14ac:dyDescent="0.2">
      <c r="A210">
        <v>210</v>
      </c>
      <c r="B210" t="s">
        <v>217</v>
      </c>
      <c r="C210">
        <v>926.97587956191296</v>
      </c>
      <c r="D210">
        <v>13.264207404372801</v>
      </c>
      <c r="E210">
        <v>819.27832445054196</v>
      </c>
      <c r="F210">
        <v>517.59630958079299</v>
      </c>
      <c r="G210">
        <v>-11.6181615386011</v>
      </c>
      <c r="H210">
        <v>3802.2030778119101</v>
      </c>
      <c r="I210" s="1">
        <v>6.8900151081959402E-6</v>
      </c>
      <c r="J210" s="1">
        <v>4.8625422193201399E-6</v>
      </c>
      <c r="L210">
        <v>114</v>
      </c>
      <c r="M210">
        <f>G210*-1</f>
        <v>11.6181615386011</v>
      </c>
      <c r="N210">
        <v>127</v>
      </c>
      <c r="O210" t="s">
        <v>217</v>
      </c>
      <c r="P210" s="11" t="s">
        <v>217</v>
      </c>
      <c r="Q210" s="5" t="s">
        <v>217</v>
      </c>
      <c r="R210" t="s">
        <v>303</v>
      </c>
      <c r="S210" t="s">
        <v>304</v>
      </c>
      <c r="T210" t="s">
        <v>304</v>
      </c>
      <c r="U210" t="s">
        <v>260</v>
      </c>
      <c r="V210" s="4" t="s">
        <v>305</v>
      </c>
      <c r="W210">
        <v>54583</v>
      </c>
      <c r="X210" s="6" t="s">
        <v>262</v>
      </c>
      <c r="Y210" t="s">
        <v>306</v>
      </c>
    </row>
    <row r="211" spans="1:25" x14ac:dyDescent="0.2">
      <c r="A211">
        <v>211</v>
      </c>
      <c r="B211" t="s">
        <v>218</v>
      </c>
      <c r="C211">
        <v>610.477623636879</v>
      </c>
      <c r="D211">
        <v>12.594823491702</v>
      </c>
      <c r="E211">
        <v>560.82259871051201</v>
      </c>
      <c r="F211">
        <v>372.62652744142099</v>
      </c>
      <c r="G211">
        <v>-8.1337993406785696</v>
      </c>
      <c r="H211">
        <v>2858.5688730526799</v>
      </c>
      <c r="I211" s="1">
        <v>2.2930530154013E-7</v>
      </c>
      <c r="J211" s="1">
        <v>1.6026900969821799E-7</v>
      </c>
      <c r="L211">
        <v>119</v>
      </c>
      <c r="M211">
        <f>G211*-1</f>
        <v>8.1337993406785696</v>
      </c>
      <c r="N211">
        <v>122</v>
      </c>
      <c r="O211" t="s">
        <v>218</v>
      </c>
      <c r="P211" s="11" t="s">
        <v>218</v>
      </c>
      <c r="Q211" s="5" t="s">
        <v>218</v>
      </c>
      <c r="R211" t="s">
        <v>406</v>
      </c>
      <c r="S211" t="s">
        <v>613</v>
      </c>
      <c r="T211" t="s">
        <v>613</v>
      </c>
      <c r="U211" t="s">
        <v>260</v>
      </c>
      <c r="V211" s="4" t="s">
        <v>614</v>
      </c>
      <c r="W211">
        <v>64714</v>
      </c>
      <c r="X211" s="6" t="s">
        <v>262</v>
      </c>
      <c r="Y211" t="s">
        <v>615</v>
      </c>
    </row>
    <row r="212" spans="1:25" x14ac:dyDescent="0.2">
      <c r="A212">
        <v>212</v>
      </c>
      <c r="B212" t="s">
        <v>219</v>
      </c>
      <c r="C212">
        <v>943.21770489811104</v>
      </c>
      <c r="D212">
        <v>10.645448586532099</v>
      </c>
      <c r="E212">
        <v>943.32579243098598</v>
      </c>
      <c r="F212">
        <v>527.15393075098802</v>
      </c>
      <c r="G212">
        <v>1.14594469881123E-2</v>
      </c>
      <c r="H212">
        <v>4851.9184322388201</v>
      </c>
      <c r="I212" t="s">
        <v>9</v>
      </c>
      <c r="J212" t="s">
        <v>9</v>
      </c>
      <c r="L212">
        <v>129</v>
      </c>
      <c r="M212">
        <f>G212*-1</f>
        <v>-1.14594469881123E-2</v>
      </c>
      <c r="N212">
        <v>112</v>
      </c>
      <c r="O212" t="s">
        <v>219</v>
      </c>
      <c r="P212" s="11" t="s">
        <v>219</v>
      </c>
      <c r="Q212" s="5" t="s">
        <v>219</v>
      </c>
      <c r="R212" t="s">
        <v>518</v>
      </c>
      <c r="S212" t="s">
        <v>550</v>
      </c>
      <c r="T212" t="s">
        <v>550</v>
      </c>
      <c r="U212" t="s">
        <v>260</v>
      </c>
      <c r="V212" s="4" t="s">
        <v>547</v>
      </c>
      <c r="W212">
        <v>6566</v>
      </c>
      <c r="X212" s="6" t="s">
        <v>262</v>
      </c>
      <c r="Y212" t="s">
        <v>548</v>
      </c>
    </row>
    <row r="213" spans="1:25" x14ac:dyDescent="0.2">
      <c r="A213">
        <v>213</v>
      </c>
      <c r="B213" t="s">
        <v>220</v>
      </c>
      <c r="C213">
        <v>950.23353218863303</v>
      </c>
      <c r="D213">
        <v>7.5742185741520203</v>
      </c>
      <c r="E213">
        <v>797.32671868038994</v>
      </c>
      <c r="F213">
        <v>659.78663337458795</v>
      </c>
      <c r="G213">
        <v>-16.091498387355301</v>
      </c>
      <c r="H213">
        <v>8610.9531751063205</v>
      </c>
      <c r="I213" t="s">
        <v>9</v>
      </c>
      <c r="J213" t="s">
        <v>9</v>
      </c>
      <c r="L213">
        <v>91</v>
      </c>
      <c r="M213">
        <f>G213*-1</f>
        <v>16.091498387355301</v>
      </c>
      <c r="N213">
        <v>150</v>
      </c>
      <c r="O213" t="s">
        <v>220</v>
      </c>
      <c r="P213" s="11" t="s">
        <v>220</v>
      </c>
      <c r="Q213" s="5" t="s">
        <v>220</v>
      </c>
      <c r="R213" t="s">
        <v>308</v>
      </c>
      <c r="S213" t="s">
        <v>525</v>
      </c>
      <c r="T213" t="s">
        <v>525</v>
      </c>
      <c r="U213" t="s">
        <v>260</v>
      </c>
      <c r="V213" s="4" t="s">
        <v>382</v>
      </c>
      <c r="X213" s="6" t="s">
        <v>262</v>
      </c>
    </row>
    <row r="214" spans="1:25" x14ac:dyDescent="0.2">
      <c r="A214">
        <v>214</v>
      </c>
      <c r="B214" t="s">
        <v>221</v>
      </c>
      <c r="C214">
        <v>921.83589330939401</v>
      </c>
      <c r="D214">
        <v>8.7275779536352704</v>
      </c>
      <c r="E214">
        <v>795.36512304327903</v>
      </c>
      <c r="F214">
        <v>639.43914238685102</v>
      </c>
      <c r="G214">
        <v>-13.719445205380801</v>
      </c>
      <c r="H214">
        <v>7226.6505986406901</v>
      </c>
      <c r="I214" t="s">
        <v>9</v>
      </c>
      <c r="J214" t="s">
        <v>9</v>
      </c>
      <c r="L214">
        <v>102</v>
      </c>
      <c r="M214">
        <f>G214*-1</f>
        <v>13.719445205380801</v>
      </c>
      <c r="N214">
        <v>139</v>
      </c>
      <c r="O214" t="s">
        <v>221</v>
      </c>
      <c r="P214" s="11" t="s">
        <v>499</v>
      </c>
      <c r="Q214" s="5" t="s">
        <v>499</v>
      </c>
      <c r="R214" t="s">
        <v>494</v>
      </c>
      <c r="S214" t="s">
        <v>495</v>
      </c>
      <c r="T214" t="s">
        <v>495</v>
      </c>
      <c r="U214" t="s">
        <v>260</v>
      </c>
      <c r="V214" s="4" t="s">
        <v>496</v>
      </c>
      <c r="W214">
        <v>3417</v>
      </c>
      <c r="X214" s="6" t="s">
        <v>262</v>
      </c>
      <c r="Y214" t="s">
        <v>497</v>
      </c>
    </row>
    <row r="215" spans="1:25" x14ac:dyDescent="0.2">
      <c r="A215">
        <v>215</v>
      </c>
      <c r="B215" t="s">
        <v>222</v>
      </c>
      <c r="C215">
        <v>926.33806443216804</v>
      </c>
      <c r="D215">
        <v>8.2072349778354106</v>
      </c>
      <c r="E215">
        <v>799.04196544022602</v>
      </c>
      <c r="F215">
        <v>648.67200986392504</v>
      </c>
      <c r="G215">
        <v>-13.741862056588699</v>
      </c>
      <c r="H215">
        <v>7803.66075317374</v>
      </c>
      <c r="I215" t="s">
        <v>9</v>
      </c>
      <c r="J215" t="s">
        <v>9</v>
      </c>
      <c r="L215">
        <v>101</v>
      </c>
      <c r="M215">
        <f>G215*-1</f>
        <v>13.741862056588699</v>
      </c>
      <c r="N215">
        <v>140</v>
      </c>
      <c r="O215" t="s">
        <v>222</v>
      </c>
      <c r="P215" s="11" t="s">
        <v>222</v>
      </c>
      <c r="Q215" s="5" t="s">
        <v>222</v>
      </c>
      <c r="R215" t="s">
        <v>258</v>
      </c>
      <c r="S215" t="s">
        <v>529</v>
      </c>
      <c r="T215" t="s">
        <v>529</v>
      </c>
      <c r="U215" t="s">
        <v>260</v>
      </c>
      <c r="V215" s="4" t="s">
        <v>530</v>
      </c>
      <c r="W215">
        <v>5406</v>
      </c>
      <c r="X215" s="6" t="s">
        <v>262</v>
      </c>
      <c r="Y215" t="s">
        <v>531</v>
      </c>
    </row>
    <row r="216" spans="1:25" x14ac:dyDescent="0.2">
      <c r="A216">
        <v>216</v>
      </c>
      <c r="B216" t="s">
        <v>223</v>
      </c>
      <c r="C216">
        <v>932.63990235534095</v>
      </c>
      <c r="D216">
        <v>10.497373192458699</v>
      </c>
      <c r="E216">
        <v>780.31022122106299</v>
      </c>
      <c r="F216">
        <v>674.00656957902095</v>
      </c>
      <c r="G216">
        <v>-16.3331721867761</v>
      </c>
      <c r="H216">
        <v>6320.7164708903101</v>
      </c>
      <c r="I216" t="s">
        <v>9</v>
      </c>
      <c r="J216" t="s">
        <v>9</v>
      </c>
      <c r="L216">
        <v>88</v>
      </c>
      <c r="M216">
        <f>G216*-1</f>
        <v>16.3331721867761</v>
      </c>
      <c r="N216">
        <v>153</v>
      </c>
      <c r="O216" t="s">
        <v>223</v>
      </c>
      <c r="P216" t="s">
        <v>223</v>
      </c>
      <c r="Q216" s="5" t="s">
        <v>275</v>
      </c>
      <c r="R216" t="s">
        <v>258</v>
      </c>
      <c r="S216" t="s">
        <v>273</v>
      </c>
      <c r="T216" t="s">
        <v>273</v>
      </c>
      <c r="U216" t="s">
        <v>260</v>
      </c>
      <c r="V216" s="7" t="s">
        <v>273</v>
      </c>
      <c r="W216" s="6">
        <v>47</v>
      </c>
      <c r="X216" s="6" t="s">
        <v>262</v>
      </c>
      <c r="Y216" s="6" t="s">
        <v>274</v>
      </c>
    </row>
    <row r="217" spans="1:25" x14ac:dyDescent="0.2">
      <c r="A217">
        <v>217</v>
      </c>
      <c r="B217" t="s">
        <v>224</v>
      </c>
      <c r="C217">
        <v>962.10304187812903</v>
      </c>
      <c r="D217">
        <v>9.36232657302733</v>
      </c>
      <c r="E217">
        <v>839.28629914982503</v>
      </c>
      <c r="F217">
        <v>655.08640444374998</v>
      </c>
      <c r="G217">
        <v>-12.7654458392058</v>
      </c>
      <c r="H217">
        <v>6897.0471477788496</v>
      </c>
      <c r="I217" t="s">
        <v>9</v>
      </c>
      <c r="J217" t="s">
        <v>9</v>
      </c>
      <c r="L217">
        <v>107</v>
      </c>
      <c r="M217">
        <f>G217*-1</f>
        <v>12.7654458392058</v>
      </c>
      <c r="N217">
        <v>134</v>
      </c>
      <c r="O217" t="s">
        <v>224</v>
      </c>
      <c r="P217" s="11" t="s">
        <v>224</v>
      </c>
      <c r="Q217" s="5" t="s">
        <v>224</v>
      </c>
      <c r="R217" t="s">
        <v>303</v>
      </c>
      <c r="S217" t="s">
        <v>729</v>
      </c>
      <c r="T217" t="s">
        <v>729</v>
      </c>
      <c r="U217" t="s">
        <v>260</v>
      </c>
      <c r="X217" s="6" t="s">
        <v>262</v>
      </c>
    </row>
    <row r="218" spans="1:25" x14ac:dyDescent="0.2">
      <c r="A218">
        <v>218</v>
      </c>
      <c r="B218" t="s">
        <v>225</v>
      </c>
      <c r="C218">
        <v>892.04282704369302</v>
      </c>
      <c r="D218">
        <v>14.9574042861744</v>
      </c>
      <c r="E218">
        <v>736.32054821431598</v>
      </c>
      <c r="F218">
        <v>639.94387041681296</v>
      </c>
      <c r="G218">
        <v>-17.456816433965901</v>
      </c>
      <c r="H218">
        <v>4178.44202224535</v>
      </c>
      <c r="I218" s="1">
        <v>6.6145861403626303E-6</v>
      </c>
      <c r="J218" t="s">
        <v>9</v>
      </c>
      <c r="L218">
        <v>80</v>
      </c>
      <c r="M218">
        <f>G218*-1</f>
        <v>17.456816433965901</v>
      </c>
      <c r="N218">
        <v>161</v>
      </c>
      <c r="O218" t="s">
        <v>225</v>
      </c>
      <c r="P218" s="11" t="s">
        <v>597</v>
      </c>
      <c r="Q218" s="5" t="s">
        <v>597</v>
      </c>
      <c r="R218" t="s">
        <v>406</v>
      </c>
      <c r="S218" t="s">
        <v>595</v>
      </c>
      <c r="T218" t="s">
        <v>595</v>
      </c>
      <c r="U218" t="s">
        <v>260</v>
      </c>
      <c r="V218" s="4" t="s">
        <v>592</v>
      </c>
      <c r="W218">
        <v>7415</v>
      </c>
      <c r="X218" s="6" t="s">
        <v>262</v>
      </c>
      <c r="Y218" t="s">
        <v>593</v>
      </c>
    </row>
    <row r="219" spans="1:25" x14ac:dyDescent="0.2">
      <c r="A219">
        <v>219</v>
      </c>
      <c r="B219" t="s">
        <v>226</v>
      </c>
      <c r="C219">
        <v>917.58832295007198</v>
      </c>
      <c r="D219">
        <v>16.071080342630601</v>
      </c>
      <c r="E219">
        <v>701.11739249764605</v>
      </c>
      <c r="F219">
        <v>714.83732396730602</v>
      </c>
      <c r="G219">
        <v>-23.591290891373401</v>
      </c>
      <c r="H219">
        <v>4347.9730592292999</v>
      </c>
      <c r="I219" t="s">
        <v>9</v>
      </c>
      <c r="J219">
        <v>0.53932177944811899</v>
      </c>
      <c r="L219">
        <v>51</v>
      </c>
      <c r="M219">
        <f>G219*-1</f>
        <v>23.591290891373401</v>
      </c>
      <c r="N219">
        <v>190</v>
      </c>
      <c r="O219" t="s">
        <v>226</v>
      </c>
      <c r="P219" s="11" t="s">
        <v>632</v>
      </c>
      <c r="Q219" s="5" t="s">
        <v>632</v>
      </c>
      <c r="R219" t="s">
        <v>629</v>
      </c>
      <c r="S219" t="s">
        <v>630</v>
      </c>
      <c r="T219" t="s">
        <v>630</v>
      </c>
      <c r="U219" t="s">
        <v>260</v>
      </c>
      <c r="V219" s="4" t="s">
        <v>630</v>
      </c>
      <c r="W219">
        <v>26227</v>
      </c>
      <c r="X219" s="6" t="s">
        <v>262</v>
      </c>
      <c r="Y219" t="s">
        <v>631</v>
      </c>
    </row>
    <row r="220" spans="1:25" x14ac:dyDescent="0.2">
      <c r="A220">
        <v>220</v>
      </c>
      <c r="B220" t="s">
        <v>227</v>
      </c>
      <c r="C220">
        <v>923.16367845837203</v>
      </c>
      <c r="D220">
        <v>14.745981277047999</v>
      </c>
      <c r="E220">
        <v>716.75867873565096</v>
      </c>
      <c r="F220">
        <v>702.47512730455401</v>
      </c>
      <c r="G220">
        <v>-22.358440278695198</v>
      </c>
      <c r="H220">
        <v>4663.8411720890499</v>
      </c>
      <c r="I220" t="s">
        <v>9</v>
      </c>
      <c r="J220" t="s">
        <v>9</v>
      </c>
      <c r="L220">
        <v>55</v>
      </c>
      <c r="M220">
        <f>G220*-1</f>
        <v>22.358440278695198</v>
      </c>
      <c r="N220">
        <v>186</v>
      </c>
      <c r="O220" t="s">
        <v>227</v>
      </c>
      <c r="P220" s="11" t="s">
        <v>227</v>
      </c>
      <c r="Q220" s="5" t="s">
        <v>227</v>
      </c>
      <c r="R220" t="s">
        <v>303</v>
      </c>
      <c r="S220" t="s">
        <v>468</v>
      </c>
      <c r="T220" t="s">
        <v>468</v>
      </c>
      <c r="U220" t="s">
        <v>260</v>
      </c>
      <c r="V220" s="4" t="s">
        <v>469</v>
      </c>
      <c r="W220">
        <v>2950</v>
      </c>
      <c r="X220" s="6" t="s">
        <v>262</v>
      </c>
      <c r="Y220" t="s">
        <v>470</v>
      </c>
    </row>
    <row r="221" spans="1:25" x14ac:dyDescent="0.2">
      <c r="A221">
        <v>221</v>
      </c>
      <c r="B221" t="s">
        <v>228</v>
      </c>
      <c r="C221">
        <v>827.65936057325803</v>
      </c>
      <c r="D221">
        <v>12.411991506263099</v>
      </c>
      <c r="E221">
        <v>732.04949847379396</v>
      </c>
      <c r="F221">
        <v>472.47379936851002</v>
      </c>
      <c r="G221">
        <v>-11.551837223618501</v>
      </c>
      <c r="H221">
        <v>3706.5913848724199</v>
      </c>
      <c r="I221" t="s">
        <v>9</v>
      </c>
      <c r="J221" t="s">
        <v>9</v>
      </c>
      <c r="L221">
        <v>115</v>
      </c>
      <c r="M221">
        <f>G221*-1</f>
        <v>11.551837223618501</v>
      </c>
      <c r="N221">
        <v>126</v>
      </c>
      <c r="O221" t="s">
        <v>228</v>
      </c>
      <c r="P221" s="11" t="s">
        <v>267</v>
      </c>
      <c r="Q221" s="5" t="s">
        <v>267</v>
      </c>
      <c r="R221" t="s">
        <v>258</v>
      </c>
      <c r="S221" t="s">
        <v>268</v>
      </c>
      <c r="T221" t="s">
        <v>268</v>
      </c>
      <c r="U221" t="s">
        <v>260</v>
      </c>
      <c r="V221" s="4" t="s">
        <v>269</v>
      </c>
      <c r="W221">
        <v>31</v>
      </c>
      <c r="X221" s="6" t="s">
        <v>262</v>
      </c>
      <c r="Y221" t="s">
        <v>270</v>
      </c>
    </row>
    <row r="222" spans="1:25" x14ac:dyDescent="0.2">
      <c r="A222">
        <v>222</v>
      </c>
      <c r="B222" t="s">
        <v>229</v>
      </c>
      <c r="C222">
        <v>921.38132028648704</v>
      </c>
      <c r="D222">
        <v>13.7807420953392</v>
      </c>
      <c r="E222">
        <v>698.53251236374501</v>
      </c>
      <c r="F222">
        <v>704.87878245162699</v>
      </c>
      <c r="G222">
        <v>-24.186382230263899</v>
      </c>
      <c r="H222">
        <v>5014.9551858315799</v>
      </c>
      <c r="I222" t="s">
        <v>9</v>
      </c>
      <c r="J222" t="s">
        <v>9</v>
      </c>
      <c r="L222">
        <v>47</v>
      </c>
      <c r="M222">
        <f>G222*-1</f>
        <v>24.186382230263899</v>
      </c>
      <c r="N222">
        <v>194</v>
      </c>
      <c r="O222" t="s">
        <v>229</v>
      </c>
      <c r="P222" s="11" t="s">
        <v>229</v>
      </c>
      <c r="Q222" s="5" t="s">
        <v>229</v>
      </c>
      <c r="R222" t="s">
        <v>518</v>
      </c>
      <c r="S222" t="s">
        <v>680</v>
      </c>
      <c r="T222" t="s">
        <v>680</v>
      </c>
      <c r="U222" t="s">
        <v>260</v>
      </c>
      <c r="V222" s="4" t="s">
        <v>680</v>
      </c>
      <c r="W222">
        <v>6557</v>
      </c>
      <c r="X222" s="6" t="s">
        <v>262</v>
      </c>
      <c r="Y222" t="s">
        <v>681</v>
      </c>
    </row>
    <row r="223" spans="1:25" x14ac:dyDescent="0.2">
      <c r="A223">
        <v>223</v>
      </c>
      <c r="B223" t="s">
        <v>230</v>
      </c>
      <c r="C223">
        <v>780.742007903277</v>
      </c>
      <c r="D223">
        <v>9.1405750121001006</v>
      </c>
      <c r="E223">
        <v>623.49888302617205</v>
      </c>
      <c r="F223">
        <v>541.03431295397104</v>
      </c>
      <c r="G223">
        <v>-20.140215754419302</v>
      </c>
      <c r="H223">
        <v>5819.0402380349296</v>
      </c>
      <c r="I223" s="1">
        <v>2.14363787701161E-6</v>
      </c>
      <c r="J223" s="1">
        <v>1.74181246504287E-6</v>
      </c>
      <c r="L223">
        <v>64</v>
      </c>
      <c r="M223">
        <f>G223*-1</f>
        <v>20.140215754419302</v>
      </c>
      <c r="N223">
        <v>177</v>
      </c>
      <c r="O223" t="s">
        <v>230</v>
      </c>
      <c r="P223" s="11" t="s">
        <v>551</v>
      </c>
      <c r="Q223" s="5" t="s">
        <v>551</v>
      </c>
      <c r="R223" t="s">
        <v>308</v>
      </c>
      <c r="S223" t="s">
        <v>308</v>
      </c>
      <c r="T223" t="s">
        <v>308</v>
      </c>
      <c r="U223" t="s">
        <v>260</v>
      </c>
      <c r="V223" s="4" t="s">
        <v>552</v>
      </c>
      <c r="W223">
        <v>5428</v>
      </c>
      <c r="X223" s="6" t="s">
        <v>262</v>
      </c>
      <c r="Y223" t="s">
        <v>553</v>
      </c>
    </row>
    <row r="224" spans="1:25" x14ac:dyDescent="0.2">
      <c r="A224">
        <v>224</v>
      </c>
      <c r="B224" t="s">
        <v>231</v>
      </c>
      <c r="C224">
        <v>925.98109932713896</v>
      </c>
      <c r="D224">
        <v>14.636466785267</v>
      </c>
      <c r="E224">
        <v>715.55110039344697</v>
      </c>
      <c r="F224">
        <v>691.97788828853402</v>
      </c>
      <c r="G224">
        <v>-22.725085758942701</v>
      </c>
      <c r="H224">
        <v>4627.7659181044601</v>
      </c>
      <c r="I224" t="s">
        <v>9</v>
      </c>
      <c r="J224" t="s">
        <v>9</v>
      </c>
      <c r="L224">
        <v>53</v>
      </c>
      <c r="M224">
        <f>G224*-1</f>
        <v>22.725085758942701</v>
      </c>
      <c r="N224">
        <v>188</v>
      </c>
      <c r="O224" t="s">
        <v>231</v>
      </c>
      <c r="P224" s="11" t="s">
        <v>231</v>
      </c>
      <c r="Q224" s="5" t="s">
        <v>231</v>
      </c>
      <c r="R224" t="s">
        <v>303</v>
      </c>
      <c r="S224" t="s">
        <v>438</v>
      </c>
      <c r="T224" t="s">
        <v>438</v>
      </c>
      <c r="U224" t="s">
        <v>260</v>
      </c>
      <c r="V224" s="4" t="s">
        <v>439</v>
      </c>
      <c r="W224">
        <v>2678</v>
      </c>
      <c r="X224" s="6" t="s">
        <v>262</v>
      </c>
      <c r="Y224" t="s">
        <v>440</v>
      </c>
    </row>
    <row r="225" spans="1:25" x14ac:dyDescent="0.2">
      <c r="A225">
        <v>225</v>
      </c>
      <c r="B225" t="s">
        <v>232</v>
      </c>
      <c r="C225">
        <v>813.13023680764297</v>
      </c>
      <c r="D225">
        <v>59.051183398844401</v>
      </c>
      <c r="E225">
        <v>672.68460003188795</v>
      </c>
      <c r="F225">
        <v>628.12512394014902</v>
      </c>
      <c r="G225">
        <v>-17.272219186823701</v>
      </c>
      <c r="H225">
        <v>963.696081580037</v>
      </c>
      <c r="I225" s="1">
        <v>2.3726244937988501E-6</v>
      </c>
      <c r="J225" s="1">
        <v>2.9685513189514501E-6</v>
      </c>
      <c r="L225">
        <v>82</v>
      </c>
      <c r="M225">
        <f>G225*-1</f>
        <v>17.272219186823701</v>
      </c>
      <c r="N225">
        <v>159</v>
      </c>
      <c r="O225" t="s">
        <v>232</v>
      </c>
      <c r="P225" s="11" t="s">
        <v>232</v>
      </c>
      <c r="Q225" s="5" t="s">
        <v>232</v>
      </c>
      <c r="R225" t="s">
        <v>303</v>
      </c>
      <c r="S225" t="s">
        <v>729</v>
      </c>
      <c r="T225" t="s">
        <v>729</v>
      </c>
      <c r="U225" t="s">
        <v>260</v>
      </c>
      <c r="X225" s="6" t="s">
        <v>262</v>
      </c>
    </row>
    <row r="226" spans="1:25" x14ac:dyDescent="0.2">
      <c r="A226">
        <v>226</v>
      </c>
      <c r="B226" t="s">
        <v>233</v>
      </c>
      <c r="C226">
        <v>922.663918407452</v>
      </c>
      <c r="D226">
        <v>14.8823283292999</v>
      </c>
      <c r="E226">
        <v>703.00730054074802</v>
      </c>
      <c r="F226">
        <v>693.60633259176302</v>
      </c>
      <c r="G226">
        <v>-23.806785275167101</v>
      </c>
      <c r="H226">
        <v>4560.6036182269399</v>
      </c>
      <c r="I226" t="s">
        <v>9</v>
      </c>
      <c r="J226" t="s">
        <v>9</v>
      </c>
      <c r="L226">
        <v>49</v>
      </c>
      <c r="M226">
        <f>G226*-1</f>
        <v>23.806785275167101</v>
      </c>
      <c r="N226">
        <v>192</v>
      </c>
      <c r="O226" t="s">
        <v>233</v>
      </c>
      <c r="P226" s="11" t="s">
        <v>233</v>
      </c>
      <c r="Q226" s="5" t="s">
        <v>233</v>
      </c>
      <c r="R226" t="s">
        <v>445</v>
      </c>
      <c r="S226" t="s">
        <v>670</v>
      </c>
      <c r="T226" t="s">
        <v>670</v>
      </c>
      <c r="U226" t="s">
        <v>260</v>
      </c>
      <c r="V226" s="4" t="s">
        <v>671</v>
      </c>
      <c r="W226">
        <v>6523</v>
      </c>
      <c r="X226" s="6" t="s">
        <v>262</v>
      </c>
      <c r="Y226" t="s">
        <v>672</v>
      </c>
    </row>
    <row r="227" spans="1:25" x14ac:dyDescent="0.2">
      <c r="A227">
        <v>227</v>
      </c>
      <c r="B227" t="s">
        <v>234</v>
      </c>
      <c r="C227">
        <v>937.09103591289102</v>
      </c>
      <c r="D227">
        <v>11.7053472790288</v>
      </c>
      <c r="E227">
        <v>792.97124039615596</v>
      </c>
      <c r="F227">
        <v>592.78342832502506</v>
      </c>
      <c r="G227">
        <v>-15.3794871569054</v>
      </c>
      <c r="H227">
        <v>4964.2105201530303</v>
      </c>
      <c r="I227" t="s">
        <v>9</v>
      </c>
      <c r="J227" t="s">
        <v>9</v>
      </c>
      <c r="L227">
        <v>97</v>
      </c>
      <c r="M227">
        <f>G227*-1</f>
        <v>15.3794871569054</v>
      </c>
      <c r="N227">
        <v>144</v>
      </c>
      <c r="O227" t="s">
        <v>234</v>
      </c>
      <c r="P227" t="s">
        <v>234</v>
      </c>
      <c r="Q227" s="5" t="s">
        <v>271</v>
      </c>
      <c r="R227" t="s">
        <v>258</v>
      </c>
      <c r="S227" t="s">
        <v>268</v>
      </c>
      <c r="T227" t="s">
        <v>268</v>
      </c>
      <c r="U227" t="s">
        <v>260</v>
      </c>
      <c r="V227" s="4" t="s">
        <v>269</v>
      </c>
      <c r="W227">
        <v>31</v>
      </c>
      <c r="X227" s="6" t="s">
        <v>262</v>
      </c>
      <c r="Y227" t="s">
        <v>270</v>
      </c>
    </row>
    <row r="228" spans="1:25" x14ac:dyDescent="0.2">
      <c r="A228">
        <v>228</v>
      </c>
      <c r="B228" t="s">
        <v>235</v>
      </c>
      <c r="C228">
        <v>918.18620989739304</v>
      </c>
      <c r="D228">
        <v>14.0471412780165</v>
      </c>
      <c r="E228">
        <v>699.81368160872</v>
      </c>
      <c r="F228">
        <v>693.61554450620599</v>
      </c>
      <c r="G228">
        <v>-23.783032889709499</v>
      </c>
      <c r="H228">
        <v>4837.77011833505</v>
      </c>
      <c r="I228" t="s">
        <v>9</v>
      </c>
      <c r="J228" t="s">
        <v>9</v>
      </c>
      <c r="L228">
        <v>50</v>
      </c>
      <c r="M228">
        <f>G228*-1</f>
        <v>23.783032889709499</v>
      </c>
      <c r="N228">
        <v>191</v>
      </c>
      <c r="O228" t="s">
        <v>235</v>
      </c>
      <c r="P228" s="11" t="s">
        <v>235</v>
      </c>
      <c r="Q228" s="5" t="s">
        <v>235</v>
      </c>
      <c r="R228" t="s">
        <v>518</v>
      </c>
      <c r="S228" t="s">
        <v>738</v>
      </c>
      <c r="T228" t="s">
        <v>738</v>
      </c>
      <c r="U228" t="s">
        <v>260</v>
      </c>
      <c r="V228" s="4" t="s">
        <v>739</v>
      </c>
      <c r="W228">
        <v>116085</v>
      </c>
      <c r="X228" s="6" t="s">
        <v>262</v>
      </c>
      <c r="Y228" t="s">
        <v>740</v>
      </c>
    </row>
    <row r="229" spans="1:25" x14ac:dyDescent="0.2">
      <c r="A229">
        <v>229</v>
      </c>
      <c r="B229" t="s">
        <v>236</v>
      </c>
      <c r="C229">
        <v>932.92221454153605</v>
      </c>
      <c r="D229">
        <v>13.8127858590078</v>
      </c>
      <c r="E229">
        <v>722.60954477311702</v>
      </c>
      <c r="F229">
        <v>681.48672690494095</v>
      </c>
      <c r="G229">
        <v>-22.543430362173499</v>
      </c>
      <c r="H229">
        <v>4833.7384497314697</v>
      </c>
      <c r="I229" t="s">
        <v>9</v>
      </c>
      <c r="J229" t="s">
        <v>9</v>
      </c>
      <c r="L229">
        <v>54</v>
      </c>
      <c r="M229">
        <f>G229*-1</f>
        <v>22.543430362173499</v>
      </c>
      <c r="N229">
        <v>187</v>
      </c>
      <c r="O229" t="s">
        <v>236</v>
      </c>
      <c r="P229" s="11" t="s">
        <v>236</v>
      </c>
      <c r="Q229" s="5" t="s">
        <v>236</v>
      </c>
      <c r="R229" t="s">
        <v>625</v>
      </c>
      <c r="S229" t="s">
        <v>626</v>
      </c>
      <c r="T229" t="s">
        <v>626</v>
      </c>
      <c r="U229" t="s">
        <v>260</v>
      </c>
      <c r="V229" s="4" t="s">
        <v>626</v>
      </c>
      <c r="W229">
        <v>5226</v>
      </c>
      <c r="X229" s="6" t="s">
        <v>262</v>
      </c>
      <c r="Y229" t="s">
        <v>627</v>
      </c>
    </row>
    <row r="230" spans="1:25" ht="17" customHeight="1" x14ac:dyDescent="0.2">
      <c r="A230">
        <v>230</v>
      </c>
      <c r="B230" t="s">
        <v>237</v>
      </c>
      <c r="C230">
        <v>918.56062161566604</v>
      </c>
      <c r="D230">
        <v>10.5718047589453</v>
      </c>
      <c r="E230">
        <v>703.90399456948899</v>
      </c>
      <c r="F230">
        <v>707.90161097724297</v>
      </c>
      <c r="G230">
        <v>-23.368803538368098</v>
      </c>
      <c r="H230">
        <v>6596.1283065528896</v>
      </c>
      <c r="I230" t="s">
        <v>9</v>
      </c>
      <c r="J230" t="s">
        <v>9</v>
      </c>
      <c r="L230">
        <v>52</v>
      </c>
      <c r="M230">
        <f>G230*-1</f>
        <v>23.368803538368098</v>
      </c>
      <c r="N230">
        <v>189</v>
      </c>
      <c r="O230" t="s">
        <v>237</v>
      </c>
      <c r="P230" s="11" t="s">
        <v>237</v>
      </c>
      <c r="Q230" s="5" t="s">
        <v>237</v>
      </c>
      <c r="R230" t="s">
        <v>414</v>
      </c>
      <c r="S230" t="s">
        <v>478</v>
      </c>
      <c r="T230" t="s">
        <v>478</v>
      </c>
      <c r="U230" t="s">
        <v>260</v>
      </c>
      <c r="V230" s="4" t="s">
        <v>479</v>
      </c>
      <c r="W230">
        <v>3098</v>
      </c>
      <c r="X230" s="6" t="s">
        <v>262</v>
      </c>
      <c r="Y230" t="s">
        <v>480</v>
      </c>
    </row>
    <row r="231" spans="1:25" x14ac:dyDescent="0.2">
      <c r="A231">
        <v>231</v>
      </c>
      <c r="B231" t="s">
        <v>238</v>
      </c>
      <c r="C231">
        <v>903.75877477841198</v>
      </c>
      <c r="D231">
        <v>14.0917592613661</v>
      </c>
      <c r="E231">
        <v>741.21286511786604</v>
      </c>
      <c r="F231">
        <v>639.54416175767301</v>
      </c>
      <c r="G231">
        <v>-17.985541518022799</v>
      </c>
      <c r="H231">
        <v>4438.4266782859804</v>
      </c>
      <c r="I231" s="1">
        <v>6.7467530504250997E-6</v>
      </c>
      <c r="J231" t="s">
        <v>9</v>
      </c>
      <c r="L231">
        <v>75</v>
      </c>
      <c r="M231">
        <f>G231*-1</f>
        <v>17.985541518022799</v>
      </c>
      <c r="N231">
        <v>166</v>
      </c>
      <c r="O231" t="s">
        <v>238</v>
      </c>
      <c r="P231" s="11" t="s">
        <v>410</v>
      </c>
      <c r="Q231" s="5" t="s">
        <v>410</v>
      </c>
      <c r="R231" t="s">
        <v>406</v>
      </c>
      <c r="S231" t="s">
        <v>407</v>
      </c>
      <c r="T231" t="s">
        <v>407</v>
      </c>
      <c r="U231" t="s">
        <v>260</v>
      </c>
      <c r="V231" s="4" t="s">
        <v>411</v>
      </c>
      <c r="W231">
        <v>220213</v>
      </c>
      <c r="X231" s="6" t="s">
        <v>262</v>
      </c>
      <c r="Y231" t="s">
        <v>412</v>
      </c>
    </row>
    <row r="232" spans="1:25" x14ac:dyDescent="0.2">
      <c r="A232">
        <v>232</v>
      </c>
      <c r="B232" t="s">
        <v>239</v>
      </c>
      <c r="C232">
        <v>749.86526861078698</v>
      </c>
      <c r="D232">
        <v>18.2939677201297</v>
      </c>
      <c r="E232">
        <v>632.33784978902304</v>
      </c>
      <c r="F232">
        <v>642.64438700495998</v>
      </c>
      <c r="G232">
        <v>-15.673138061121</v>
      </c>
      <c r="H232">
        <v>3412.8759208306101</v>
      </c>
      <c r="I232" s="1">
        <v>1.3118634373718499E-6</v>
      </c>
      <c r="J232" s="1">
        <v>2.2442215171667199E-6</v>
      </c>
      <c r="L232">
        <v>95</v>
      </c>
      <c r="M232">
        <f>G232*-1</f>
        <v>15.673138061121</v>
      </c>
      <c r="N232">
        <v>146</v>
      </c>
      <c r="O232" t="s">
        <v>239</v>
      </c>
      <c r="P232" t="s">
        <v>239</v>
      </c>
      <c r="Q232" s="5" t="s">
        <v>702</v>
      </c>
      <c r="R232" t="s">
        <v>258</v>
      </c>
      <c r="S232" t="s">
        <v>699</v>
      </c>
      <c r="T232" t="s">
        <v>699</v>
      </c>
      <c r="U232" t="s">
        <v>260</v>
      </c>
      <c r="V232" s="4" t="s">
        <v>700</v>
      </c>
      <c r="W232">
        <v>6720</v>
      </c>
      <c r="X232" s="6" t="s">
        <v>262</v>
      </c>
      <c r="Y232" t="s">
        <v>701</v>
      </c>
    </row>
    <row r="233" spans="1:25" x14ac:dyDescent="0.2">
      <c r="A233">
        <v>233</v>
      </c>
      <c r="B233" t="s">
        <v>240</v>
      </c>
      <c r="C233">
        <v>963.98319953355997</v>
      </c>
      <c r="D233">
        <v>11.3962655098032</v>
      </c>
      <c r="E233">
        <v>769.77430390070003</v>
      </c>
      <c r="F233">
        <v>666.06499927213599</v>
      </c>
      <c r="G233">
        <v>-20.146502109874099</v>
      </c>
      <c r="H233">
        <v>5744.59004310821</v>
      </c>
      <c r="I233" t="s">
        <v>9</v>
      </c>
      <c r="J233" t="s">
        <v>9</v>
      </c>
      <c r="L233">
        <v>63</v>
      </c>
      <c r="M233">
        <f>G233*-1</f>
        <v>20.146502109874099</v>
      </c>
      <c r="N233">
        <v>178</v>
      </c>
      <c r="O233" t="s">
        <v>240</v>
      </c>
      <c r="P233" s="11" t="s">
        <v>240</v>
      </c>
      <c r="Q233" s="5" t="s">
        <v>240</v>
      </c>
      <c r="R233" t="s">
        <v>729</v>
      </c>
      <c r="S233" t="s">
        <v>729</v>
      </c>
      <c r="T233" t="s">
        <v>729</v>
      </c>
      <c r="U233" t="s">
        <v>260</v>
      </c>
      <c r="X233" s="6" t="s">
        <v>262</v>
      </c>
    </row>
    <row r="234" spans="1:25" x14ac:dyDescent="0.2">
      <c r="A234">
        <v>234</v>
      </c>
      <c r="B234" t="s">
        <v>241</v>
      </c>
      <c r="C234">
        <v>936.5419318104</v>
      </c>
      <c r="D234">
        <v>12.644565558028299</v>
      </c>
      <c r="E234">
        <v>710.38814523654298</v>
      </c>
      <c r="F234">
        <v>704.91502564857296</v>
      </c>
      <c r="G234">
        <v>-24.147748103140099</v>
      </c>
      <c r="H234">
        <v>5474.8457502441097</v>
      </c>
      <c r="I234" t="s">
        <v>9</v>
      </c>
      <c r="J234" t="s">
        <v>9</v>
      </c>
      <c r="L234">
        <v>48</v>
      </c>
      <c r="M234">
        <f>G234*-1</f>
        <v>24.147748103140099</v>
      </c>
      <c r="N234">
        <v>193</v>
      </c>
      <c r="O234" t="s">
        <v>241</v>
      </c>
      <c r="P234" s="11" t="s">
        <v>241</v>
      </c>
      <c r="Q234" s="5" t="s">
        <v>241</v>
      </c>
      <c r="R234" t="s">
        <v>406</v>
      </c>
      <c r="S234" t="s">
        <v>522</v>
      </c>
      <c r="T234" t="s">
        <v>522</v>
      </c>
      <c r="U234" t="s">
        <v>260</v>
      </c>
      <c r="V234" s="4" t="s">
        <v>523</v>
      </c>
      <c r="W234">
        <v>2081</v>
      </c>
      <c r="X234" s="6" t="s">
        <v>262</v>
      </c>
      <c r="Y234" t="s">
        <v>524</v>
      </c>
    </row>
    <row r="235" spans="1:25" x14ac:dyDescent="0.2">
      <c r="A235">
        <v>235</v>
      </c>
      <c r="B235" t="s">
        <v>242</v>
      </c>
      <c r="C235">
        <v>934.37648446196999</v>
      </c>
      <c r="D235">
        <v>8.9270040141699791</v>
      </c>
      <c r="E235">
        <v>700.24829507339302</v>
      </c>
      <c r="F235">
        <v>704.28674341614305</v>
      </c>
      <c r="G235">
        <v>-25.057157717682902</v>
      </c>
      <c r="H235">
        <v>7789.3965130767001</v>
      </c>
      <c r="I235" t="s">
        <v>9</v>
      </c>
      <c r="J235" t="s">
        <v>9</v>
      </c>
      <c r="L235">
        <v>41</v>
      </c>
      <c r="M235">
        <f>G235*-1</f>
        <v>25.057157717682902</v>
      </c>
      <c r="N235">
        <v>200</v>
      </c>
      <c r="O235" t="s">
        <v>242</v>
      </c>
      <c r="P235" s="11" t="s">
        <v>242</v>
      </c>
      <c r="Q235" s="5" t="s">
        <v>242</v>
      </c>
      <c r="R235" t="s">
        <v>276</v>
      </c>
      <c r="S235" t="s">
        <v>375</v>
      </c>
      <c r="T235" t="s">
        <v>375</v>
      </c>
      <c r="U235" t="s">
        <v>260</v>
      </c>
      <c r="V235" s="4" t="s">
        <v>375</v>
      </c>
      <c r="W235">
        <v>1543</v>
      </c>
      <c r="X235" s="6" t="s">
        <v>262</v>
      </c>
      <c r="Y235" t="s">
        <v>376</v>
      </c>
    </row>
    <row r="236" spans="1:25" x14ac:dyDescent="0.2">
      <c r="A236">
        <v>236</v>
      </c>
      <c r="B236" t="s">
        <v>243</v>
      </c>
      <c r="C236">
        <v>599.00174055063599</v>
      </c>
      <c r="D236">
        <v>36.5921360664139</v>
      </c>
      <c r="E236">
        <v>480.93104181431897</v>
      </c>
      <c r="F236">
        <v>444.942477553115</v>
      </c>
      <c r="G236">
        <v>-19.711244683158998</v>
      </c>
      <c r="H236">
        <v>1115.95109054457</v>
      </c>
      <c r="I236" s="1">
        <v>2.5606773456545101E-7</v>
      </c>
      <c r="J236" s="1">
        <v>2.7605049886493001E-7</v>
      </c>
      <c r="L236">
        <v>67</v>
      </c>
      <c r="M236">
        <f>G236*-1</f>
        <v>19.711244683158998</v>
      </c>
      <c r="N236">
        <v>174</v>
      </c>
      <c r="O236" t="s">
        <v>243</v>
      </c>
      <c r="P236" t="s">
        <v>243</v>
      </c>
      <c r="Q236" s="5" t="s">
        <v>458</v>
      </c>
      <c r="R236" t="s">
        <v>303</v>
      </c>
      <c r="S236" t="s">
        <v>456</v>
      </c>
      <c r="T236" t="s">
        <v>456</v>
      </c>
      <c r="U236" t="s">
        <v>260</v>
      </c>
      <c r="V236" s="4" t="s">
        <v>456</v>
      </c>
      <c r="W236">
        <v>2879</v>
      </c>
      <c r="X236" s="6" t="s">
        <v>262</v>
      </c>
      <c r="Y236" t="s">
        <v>457</v>
      </c>
    </row>
    <row r="237" spans="1:25" ht="17" customHeight="1" x14ac:dyDescent="0.2">
      <c r="A237">
        <v>237</v>
      </c>
      <c r="B237" t="s">
        <v>244</v>
      </c>
      <c r="C237">
        <v>890.24297119116704</v>
      </c>
      <c r="D237">
        <v>23.105400860101</v>
      </c>
      <c r="E237">
        <v>712.45505620076597</v>
      </c>
      <c r="F237">
        <v>672.146771117605</v>
      </c>
      <c r="G237">
        <v>-19.970718190845801</v>
      </c>
      <c r="H237">
        <v>2809.04613682026</v>
      </c>
      <c r="I237" t="s">
        <v>9</v>
      </c>
      <c r="J237" t="s">
        <v>9</v>
      </c>
      <c r="L237">
        <v>66</v>
      </c>
      <c r="M237">
        <f>G237*-1</f>
        <v>19.970718190845801</v>
      </c>
      <c r="N237">
        <v>175</v>
      </c>
      <c r="O237" t="s">
        <v>244</v>
      </c>
      <c r="P237" s="11" t="s">
        <v>244</v>
      </c>
      <c r="Q237" s="5" t="s">
        <v>244</v>
      </c>
      <c r="R237" t="s">
        <v>258</v>
      </c>
      <c r="S237" t="s">
        <v>268</v>
      </c>
      <c r="T237" t="s">
        <v>268</v>
      </c>
      <c r="U237" t="s">
        <v>260</v>
      </c>
      <c r="V237" s="4" t="s">
        <v>269</v>
      </c>
      <c r="W237">
        <v>31</v>
      </c>
      <c r="X237" s="6" t="s">
        <v>262</v>
      </c>
      <c r="Y237" t="s">
        <v>270</v>
      </c>
    </row>
    <row r="238" spans="1:25" x14ac:dyDescent="0.2">
      <c r="A238">
        <v>238</v>
      </c>
      <c r="B238" t="s">
        <v>245</v>
      </c>
      <c r="C238">
        <v>900.46875859259706</v>
      </c>
      <c r="D238">
        <v>10.417235889218899</v>
      </c>
      <c r="E238">
        <v>711.65517466875997</v>
      </c>
      <c r="F238">
        <v>698.07766735735595</v>
      </c>
      <c r="G238">
        <v>-20.968365878561599</v>
      </c>
      <c r="H238">
        <v>6601.1794182352796</v>
      </c>
      <c r="I238" t="s">
        <v>9</v>
      </c>
      <c r="J238" t="s">
        <v>9</v>
      </c>
      <c r="L238">
        <v>61</v>
      </c>
      <c r="M238">
        <f>G238*-1</f>
        <v>20.968365878561599</v>
      </c>
      <c r="N238">
        <v>180</v>
      </c>
      <c r="O238" t="s">
        <v>245</v>
      </c>
      <c r="P238" t="s">
        <v>245</v>
      </c>
      <c r="Q238" s="5" t="s">
        <v>459</v>
      </c>
      <c r="R238" t="s">
        <v>303</v>
      </c>
      <c r="S238" t="s">
        <v>456</v>
      </c>
      <c r="T238" t="s">
        <v>456</v>
      </c>
      <c r="U238" t="s">
        <v>260</v>
      </c>
      <c r="V238" s="4" t="s">
        <v>456</v>
      </c>
      <c r="W238">
        <v>2879</v>
      </c>
      <c r="X238" s="6" t="s">
        <v>262</v>
      </c>
      <c r="Y238" t="s">
        <v>457</v>
      </c>
    </row>
    <row r="239" spans="1:25" ht="16" customHeight="1" x14ac:dyDescent="0.2">
      <c r="A239">
        <v>239</v>
      </c>
      <c r="B239" t="s">
        <v>246</v>
      </c>
      <c r="C239">
        <v>922.25942735025205</v>
      </c>
      <c r="D239">
        <v>9.3826311921154897</v>
      </c>
      <c r="E239">
        <v>693.78329470673395</v>
      </c>
      <c r="F239">
        <v>693.93241592222796</v>
      </c>
      <c r="G239">
        <v>-24.773520971203698</v>
      </c>
      <c r="H239">
        <v>7295.9255321189703</v>
      </c>
      <c r="I239" t="s">
        <v>9</v>
      </c>
      <c r="J239" t="s">
        <v>9</v>
      </c>
      <c r="L239">
        <v>42</v>
      </c>
      <c r="M239">
        <f>G239*-1</f>
        <v>24.773520971203698</v>
      </c>
      <c r="N239">
        <v>199</v>
      </c>
      <c r="O239" t="s">
        <v>246</v>
      </c>
      <c r="P239" s="11" t="s">
        <v>673</v>
      </c>
      <c r="Q239" s="5" t="s">
        <v>673</v>
      </c>
      <c r="R239" t="s">
        <v>445</v>
      </c>
      <c r="S239" t="s">
        <v>670</v>
      </c>
      <c r="T239" t="s">
        <v>670</v>
      </c>
      <c r="U239" t="s">
        <v>260</v>
      </c>
      <c r="V239" s="4" t="s">
        <v>671</v>
      </c>
      <c r="W239">
        <v>6523</v>
      </c>
      <c r="X239" s="6" t="s">
        <v>262</v>
      </c>
      <c r="Y239" t="s">
        <v>672</v>
      </c>
    </row>
    <row r="240" spans="1:25" x14ac:dyDescent="0.2">
      <c r="A240">
        <v>240</v>
      </c>
      <c r="B240" t="s">
        <v>247</v>
      </c>
      <c r="C240">
        <v>545.74589767832094</v>
      </c>
      <c r="D240">
        <v>20.698565609164</v>
      </c>
      <c r="E240">
        <v>459.13819613196199</v>
      </c>
      <c r="F240">
        <v>399.544030313321</v>
      </c>
      <c r="G240">
        <v>-15.8696019365058</v>
      </c>
      <c r="H240">
        <v>1830.29815619894</v>
      </c>
      <c r="I240" s="1">
        <v>1.3925883869786799E-7</v>
      </c>
      <c r="J240" s="1">
        <v>2.0362339079915299E-7</v>
      </c>
      <c r="L240">
        <v>92</v>
      </c>
      <c r="M240">
        <f>G240*-1</f>
        <v>15.8696019365058</v>
      </c>
      <c r="N240">
        <v>149</v>
      </c>
      <c r="O240" t="s">
        <v>247</v>
      </c>
      <c r="P240" t="s">
        <v>247</v>
      </c>
      <c r="Q240" s="5" t="s">
        <v>247</v>
      </c>
      <c r="R240" t="s">
        <v>406</v>
      </c>
      <c r="S240" t="s">
        <v>591</v>
      </c>
      <c r="T240" t="s">
        <v>591</v>
      </c>
      <c r="U240" t="s">
        <v>260</v>
      </c>
      <c r="V240" s="4" t="s">
        <v>592</v>
      </c>
      <c r="W240">
        <v>7415</v>
      </c>
      <c r="X240" s="6" t="s">
        <v>262</v>
      </c>
      <c r="Y240" t="s">
        <v>593</v>
      </c>
    </row>
    <row r="241" spans="1:25" x14ac:dyDescent="0.2">
      <c r="A241">
        <v>241</v>
      </c>
      <c r="B241" t="s">
        <v>248</v>
      </c>
      <c r="C241">
        <v>427.08889178405201</v>
      </c>
      <c r="D241">
        <v>38.117261207634797</v>
      </c>
      <c r="E241">
        <v>370.58961980461203</v>
      </c>
      <c r="F241">
        <v>261.89790097982302</v>
      </c>
      <c r="G241">
        <v>-13.228925656068601</v>
      </c>
      <c r="H241">
        <v>587.08478175595098</v>
      </c>
      <c r="I241" s="1">
        <v>1.1813036110856001E-8</v>
      </c>
      <c r="J241" s="1">
        <v>1.1417247621184101E-8</v>
      </c>
      <c r="L241">
        <v>105</v>
      </c>
      <c r="M241">
        <f>G241*-1</f>
        <v>13.228925656068601</v>
      </c>
      <c r="N241">
        <v>136</v>
      </c>
      <c r="O241" t="s">
        <v>248</v>
      </c>
      <c r="P241" s="11" t="s">
        <v>429</v>
      </c>
      <c r="Q241" s="5" t="s">
        <v>429</v>
      </c>
      <c r="R241" t="s">
        <v>430</v>
      </c>
      <c r="S241" t="s">
        <v>431</v>
      </c>
      <c r="T241" t="s">
        <v>431</v>
      </c>
      <c r="U241" t="s">
        <v>260</v>
      </c>
      <c r="V241" s="4" t="s">
        <v>431</v>
      </c>
      <c r="W241">
        <v>2618</v>
      </c>
      <c r="X241" s="6" t="s">
        <v>262</v>
      </c>
      <c r="Y241" t="s">
        <v>432</v>
      </c>
    </row>
  </sheetData>
  <autoFilter ref="A1:Y241" xr:uid="{9EB4D933-B252-154F-8E3D-537CA1670E39}">
    <filterColumn colId="17">
      <filters>
        <filter val="AminoAcid"/>
        <filter val="AMPK"/>
        <filter val="Autophagy_ERstress"/>
        <filter val="Detooxification"/>
        <filter val="Detoxification"/>
        <filter val="GlucoseMetabolism"/>
        <filter val="Glutamine"/>
        <filter val="Glutaminolysis"/>
        <filter val="Glycolysis"/>
        <filter val="Hormone"/>
        <filter val="Hypoxia"/>
        <filter val="Lipid"/>
        <filter val="Metabolitetransport"/>
        <filter val="Mitochondria"/>
        <filter val="MutantIDH"/>
        <filter val="NADMetabolism"/>
        <filter val="Other"/>
        <filter val="PositiveControl"/>
        <filter val="PPP"/>
        <filter val="Redoxhomeostasis"/>
        <filter val="Serine"/>
        <filter val="Unknown"/>
      </filters>
    </filterColumn>
    <sortState xmlns:xlrd2="http://schemas.microsoft.com/office/spreadsheetml/2017/richdata2" ref="A2:Y241">
      <sortCondition ref="A1:A241"/>
    </sortState>
  </autoFilter>
  <sortState xmlns:xlrd2="http://schemas.microsoft.com/office/spreadsheetml/2017/richdata2" ref="O2:X241">
    <sortCondition ref="O2:O241"/>
  </sortState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3C0B-927E-B74D-83EE-2F739969B923}">
  <dimension ref="A1:Y121"/>
  <sheetViews>
    <sheetView workbookViewId="0">
      <selection activeCell="F4" sqref="F4"/>
    </sheetView>
  </sheetViews>
  <sheetFormatPr baseColWidth="10" defaultRowHeight="16" x14ac:dyDescent="0.2"/>
  <cols>
    <col min="2" max="2" width="34.5" customWidth="1"/>
    <col min="6" max="6" width="24.6640625" customWidth="1"/>
  </cols>
  <sheetData>
    <row r="1" spans="1:25" s="3" customForma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L1" s="3" t="s">
        <v>742</v>
      </c>
      <c r="N1" s="3" t="s">
        <v>743</v>
      </c>
      <c r="O1" s="2" t="s">
        <v>249</v>
      </c>
      <c r="P1" s="2" t="s">
        <v>249</v>
      </c>
      <c r="Q1" s="2" t="s">
        <v>249</v>
      </c>
      <c r="R1" s="3" t="s">
        <v>250</v>
      </c>
      <c r="S1" s="3" t="s">
        <v>251</v>
      </c>
      <c r="T1" s="3" t="s">
        <v>252</v>
      </c>
      <c r="U1" s="3" t="s">
        <v>252</v>
      </c>
      <c r="V1" s="13" t="s">
        <v>253</v>
      </c>
      <c r="W1" s="3" t="s">
        <v>254</v>
      </c>
      <c r="X1" s="3" t="s">
        <v>255</v>
      </c>
      <c r="Y1" s="3" t="s">
        <v>256</v>
      </c>
    </row>
    <row r="2" spans="1:25" ht="23" customHeight="1" x14ac:dyDescent="0.2">
      <c r="A2">
        <v>53</v>
      </c>
      <c r="B2" t="s">
        <v>60</v>
      </c>
      <c r="C2">
        <v>777.79892441650895</v>
      </c>
      <c r="D2">
        <v>14.0884469033372</v>
      </c>
      <c r="E2">
        <v>829.95062370976302</v>
      </c>
      <c r="F2">
        <v>104.156396711086</v>
      </c>
      <c r="G2">
        <v>6.70503618044697</v>
      </c>
      <c r="H2">
        <v>639.30361114832294</v>
      </c>
      <c r="I2" s="1">
        <v>1.07300301342362E-6</v>
      </c>
      <c r="J2" s="1">
        <v>1.0669566035649701E-6</v>
      </c>
      <c r="L2">
        <v>177</v>
      </c>
      <c r="M2">
        <f>G2*-1</f>
        <v>-6.70503618044697</v>
      </c>
      <c r="N2">
        <v>64</v>
      </c>
      <c r="O2" t="s">
        <v>60</v>
      </c>
      <c r="P2" s="11" t="s">
        <v>566</v>
      </c>
      <c r="Q2" s="5" t="s">
        <v>566</v>
      </c>
      <c r="R2" t="s">
        <v>303</v>
      </c>
      <c r="S2" t="s">
        <v>567</v>
      </c>
      <c r="T2" t="s">
        <v>567</v>
      </c>
      <c r="U2" t="s">
        <v>260</v>
      </c>
      <c r="V2" s="4"/>
      <c r="X2" s="6" t="s">
        <v>262</v>
      </c>
    </row>
    <row r="3" spans="1:25" ht="16" customHeight="1" x14ac:dyDescent="0.2">
      <c r="A3">
        <v>83</v>
      </c>
      <c r="B3" t="s">
        <v>90</v>
      </c>
      <c r="C3">
        <v>467.29730641921901</v>
      </c>
      <c r="D3">
        <v>10.676463114810501</v>
      </c>
      <c r="E3">
        <v>344.90024977296201</v>
      </c>
      <c r="F3">
        <v>152.41380366438301</v>
      </c>
      <c r="G3">
        <v>-26.192544867025699</v>
      </c>
      <c r="H3">
        <v>1327.5683063331501</v>
      </c>
      <c r="I3" s="1">
        <v>8.97476611322221E-9</v>
      </c>
      <c r="J3" s="1">
        <v>8.7924770500104598E-9</v>
      </c>
      <c r="L3">
        <v>35</v>
      </c>
      <c r="M3">
        <f>G3*-1</f>
        <v>26.192544867025699</v>
      </c>
      <c r="N3">
        <v>206</v>
      </c>
      <c r="O3" t="s">
        <v>90</v>
      </c>
      <c r="P3" s="11" t="s">
        <v>556</v>
      </c>
      <c r="Q3" s="5" t="s">
        <v>556</v>
      </c>
      <c r="R3" t="s">
        <v>557</v>
      </c>
      <c r="S3" t="s">
        <v>558</v>
      </c>
      <c r="T3" t="s">
        <v>558</v>
      </c>
      <c r="U3" t="s">
        <v>260</v>
      </c>
      <c r="V3" s="4" t="s">
        <v>558</v>
      </c>
      <c r="W3">
        <v>10135</v>
      </c>
      <c r="X3" s="6" t="s">
        <v>262</v>
      </c>
      <c r="Y3" t="s">
        <v>559</v>
      </c>
    </row>
    <row r="4" spans="1:25" ht="16" customHeight="1" x14ac:dyDescent="0.2">
      <c r="A4">
        <v>85</v>
      </c>
      <c r="B4" t="s">
        <v>92</v>
      </c>
      <c r="C4">
        <v>475.74254362562903</v>
      </c>
      <c r="D4">
        <v>21.7505691661237</v>
      </c>
      <c r="E4">
        <v>375.35429442569603</v>
      </c>
      <c r="F4">
        <v>176.29055674957701</v>
      </c>
      <c r="G4">
        <v>-21.101381523475901</v>
      </c>
      <c r="H4">
        <v>710.51008552065105</v>
      </c>
      <c r="I4" s="1">
        <v>1.1304974500667101E-8</v>
      </c>
      <c r="J4" s="1">
        <v>1.21817052335207E-8</v>
      </c>
      <c r="L4">
        <v>60</v>
      </c>
      <c r="M4">
        <f>G4*-1</f>
        <v>21.101381523475901</v>
      </c>
      <c r="N4">
        <v>181</v>
      </c>
      <c r="O4" t="s">
        <v>92</v>
      </c>
      <c r="P4" s="11" t="s">
        <v>560</v>
      </c>
      <c r="Q4" s="5" t="s">
        <v>560</v>
      </c>
      <c r="R4" t="s">
        <v>557</v>
      </c>
      <c r="S4" t="s">
        <v>558</v>
      </c>
      <c r="T4" t="s">
        <v>558</v>
      </c>
      <c r="U4" t="s">
        <v>260</v>
      </c>
      <c r="V4" s="4" t="s">
        <v>558</v>
      </c>
      <c r="W4">
        <v>10135</v>
      </c>
      <c r="X4" s="6" t="s">
        <v>262</v>
      </c>
      <c r="Y4" t="s">
        <v>559</v>
      </c>
    </row>
    <row r="5" spans="1:25" x14ac:dyDescent="0.2">
      <c r="A5">
        <v>76</v>
      </c>
      <c r="B5" t="s">
        <v>83</v>
      </c>
      <c r="C5">
        <v>822.72983675277203</v>
      </c>
      <c r="D5">
        <v>1.523491675736</v>
      </c>
      <c r="E5">
        <v>974.94045107664203</v>
      </c>
      <c r="F5">
        <v>200.628953807269</v>
      </c>
      <c r="G5">
        <v>18.5006799953469</v>
      </c>
      <c r="H5">
        <v>13069.021990904301</v>
      </c>
      <c r="I5" t="s">
        <v>9</v>
      </c>
      <c r="J5" t="s">
        <v>9</v>
      </c>
      <c r="L5">
        <v>237</v>
      </c>
      <c r="M5">
        <f>G5*-1</f>
        <v>-18.5006799953469</v>
      </c>
      <c r="N5">
        <v>4</v>
      </c>
      <c r="O5" t="s">
        <v>83</v>
      </c>
      <c r="P5" s="11" t="s">
        <v>554</v>
      </c>
      <c r="Q5" s="5" t="s">
        <v>554</v>
      </c>
      <c r="R5" t="s">
        <v>308</v>
      </c>
      <c r="S5" t="s">
        <v>555</v>
      </c>
      <c r="T5" t="s">
        <v>555</v>
      </c>
      <c r="U5" t="s">
        <v>260</v>
      </c>
      <c r="V5" s="4" t="s">
        <v>552</v>
      </c>
      <c r="W5">
        <v>5428</v>
      </c>
      <c r="X5" s="6" t="s">
        <v>262</v>
      </c>
      <c r="Y5" t="s">
        <v>553</v>
      </c>
    </row>
    <row r="6" spans="1:25" x14ac:dyDescent="0.2">
      <c r="A6">
        <v>54</v>
      </c>
      <c r="B6" t="s">
        <v>61</v>
      </c>
      <c r="C6">
        <v>925.12024881611205</v>
      </c>
      <c r="D6">
        <v>0.68991568401567704</v>
      </c>
      <c r="E6">
        <v>1011.88513392245</v>
      </c>
      <c r="F6">
        <v>263.47543545940698</v>
      </c>
      <c r="G6">
        <v>9.3787683511820195</v>
      </c>
      <c r="H6">
        <v>38089.512365603798</v>
      </c>
      <c r="I6" t="s">
        <v>9</v>
      </c>
      <c r="J6" t="s">
        <v>9</v>
      </c>
      <c r="L6">
        <v>210</v>
      </c>
      <c r="M6">
        <f>G6*-1</f>
        <v>-9.3787683511820195</v>
      </c>
      <c r="N6">
        <v>31</v>
      </c>
      <c r="O6" t="s">
        <v>61</v>
      </c>
      <c r="P6" s="11" t="s">
        <v>61</v>
      </c>
      <c r="Q6" s="5" t="s">
        <v>61</v>
      </c>
      <c r="R6" t="s">
        <v>308</v>
      </c>
      <c r="S6" t="s">
        <v>724</v>
      </c>
      <c r="T6" t="s">
        <v>724</v>
      </c>
      <c r="U6" t="s">
        <v>260</v>
      </c>
      <c r="V6" s="4" t="s">
        <v>725</v>
      </c>
      <c r="W6">
        <v>7350</v>
      </c>
      <c r="X6" s="6" t="s">
        <v>262</v>
      </c>
      <c r="Y6" t="s">
        <v>726</v>
      </c>
    </row>
    <row r="7" spans="1:25" x14ac:dyDescent="0.2">
      <c r="A7">
        <v>68</v>
      </c>
      <c r="B7" t="s">
        <v>75</v>
      </c>
      <c r="C7">
        <v>920.73745401466795</v>
      </c>
      <c r="D7">
        <v>0.44547040265578902</v>
      </c>
      <c r="E7">
        <v>1015.31815731319</v>
      </c>
      <c r="F7">
        <v>266.16835754728299</v>
      </c>
      <c r="G7">
        <v>10.272277171534499</v>
      </c>
      <c r="H7">
        <v>59649.953298906199</v>
      </c>
      <c r="I7" t="s">
        <v>9</v>
      </c>
      <c r="J7" t="s">
        <v>9</v>
      </c>
      <c r="L7">
        <v>216</v>
      </c>
      <c r="M7">
        <f>G7*-1</f>
        <v>-10.272277171534499</v>
      </c>
      <c r="N7">
        <v>25</v>
      </c>
      <c r="O7" t="s">
        <v>75</v>
      </c>
      <c r="P7" s="11" t="s">
        <v>285</v>
      </c>
      <c r="Q7" s="5" t="s">
        <v>285</v>
      </c>
      <c r="R7" t="s">
        <v>258</v>
      </c>
      <c r="S7" t="s">
        <v>286</v>
      </c>
      <c r="T7" t="s">
        <v>286</v>
      </c>
      <c r="U7" t="s">
        <v>260</v>
      </c>
      <c r="V7" s="4" t="s">
        <v>286</v>
      </c>
      <c r="W7">
        <v>240</v>
      </c>
      <c r="X7" s="6" t="s">
        <v>262</v>
      </c>
      <c r="Y7" t="s">
        <v>287</v>
      </c>
    </row>
    <row r="8" spans="1:25" x14ac:dyDescent="0.2">
      <c r="A8">
        <v>69</v>
      </c>
      <c r="B8" t="s">
        <v>76</v>
      </c>
      <c r="C8">
        <v>906.551085769515</v>
      </c>
      <c r="D8">
        <v>6.1138050034409197</v>
      </c>
      <c r="E8">
        <v>995.88743681670803</v>
      </c>
      <c r="F8">
        <v>268.58527142923202</v>
      </c>
      <c r="G8">
        <v>9.8545302575375704</v>
      </c>
      <c r="H8">
        <v>4293.0951556039099</v>
      </c>
      <c r="I8" s="1">
        <v>8.0711072950961793E-6</v>
      </c>
      <c r="J8" t="s">
        <v>9</v>
      </c>
      <c r="L8">
        <v>211</v>
      </c>
      <c r="M8">
        <f>G8*-1</f>
        <v>-9.8545302575375704</v>
      </c>
      <c r="N8">
        <v>30</v>
      </c>
      <c r="O8" t="s">
        <v>76</v>
      </c>
      <c r="P8" t="s">
        <v>76</v>
      </c>
      <c r="Q8" s="5" t="s">
        <v>460</v>
      </c>
      <c r="R8" t="s">
        <v>303</v>
      </c>
      <c r="S8" t="s">
        <v>461</v>
      </c>
      <c r="T8" t="s">
        <v>461</v>
      </c>
      <c r="U8" t="s">
        <v>260</v>
      </c>
      <c r="V8" s="4" t="s">
        <v>462</v>
      </c>
      <c r="W8">
        <v>2597</v>
      </c>
      <c r="X8" s="6" t="s">
        <v>262</v>
      </c>
      <c r="Y8" t="s">
        <v>463</v>
      </c>
    </row>
    <row r="9" spans="1:25" x14ac:dyDescent="0.2">
      <c r="A9">
        <v>65</v>
      </c>
      <c r="B9" t="s">
        <v>72</v>
      </c>
      <c r="C9">
        <v>937.66841030159196</v>
      </c>
      <c r="D9">
        <v>0.48942171627785802</v>
      </c>
      <c r="E9">
        <v>1017.4464847631</v>
      </c>
      <c r="F9">
        <v>293.196266740515</v>
      </c>
      <c r="G9">
        <v>8.5081328948524906</v>
      </c>
      <c r="H9">
        <v>59806.672913970098</v>
      </c>
      <c r="I9" t="s">
        <v>9</v>
      </c>
      <c r="J9" t="s">
        <v>9</v>
      </c>
      <c r="L9">
        <v>197</v>
      </c>
      <c r="M9">
        <f>G9*-1</f>
        <v>-8.5081328948524906</v>
      </c>
      <c r="N9">
        <v>44</v>
      </c>
      <c r="O9" t="s">
        <v>72</v>
      </c>
      <c r="P9" s="11" t="s">
        <v>582</v>
      </c>
      <c r="Q9" s="5" t="s">
        <v>582</v>
      </c>
      <c r="R9" t="s">
        <v>583</v>
      </c>
      <c r="S9" t="s">
        <v>584</v>
      </c>
      <c r="T9" t="s">
        <v>584</v>
      </c>
      <c r="U9" t="s">
        <v>260</v>
      </c>
      <c r="V9" s="4" t="s">
        <v>585</v>
      </c>
      <c r="W9">
        <v>4953</v>
      </c>
      <c r="X9" s="6" t="s">
        <v>262</v>
      </c>
      <c r="Y9" t="s">
        <v>586</v>
      </c>
    </row>
    <row r="10" spans="1:25" x14ac:dyDescent="0.2">
      <c r="A10">
        <v>117</v>
      </c>
      <c r="B10" t="s">
        <v>124</v>
      </c>
      <c r="C10">
        <v>640.00730517749298</v>
      </c>
      <c r="D10">
        <v>1.3041913247721499</v>
      </c>
      <c r="E10">
        <v>646.32978122913801</v>
      </c>
      <c r="F10">
        <v>295.64055981136403</v>
      </c>
      <c r="G10">
        <v>0.98787560712164302</v>
      </c>
      <c r="H10">
        <v>22568.4961167806</v>
      </c>
      <c r="I10" s="1">
        <v>3.5294252468281902E-7</v>
      </c>
      <c r="J10" s="1">
        <v>2.5409919587655101E-7</v>
      </c>
      <c r="L10">
        <v>133</v>
      </c>
      <c r="M10">
        <f>G10*-1</f>
        <v>-0.98787560712164302</v>
      </c>
      <c r="N10">
        <v>108</v>
      </c>
      <c r="O10" t="s">
        <v>124</v>
      </c>
      <c r="P10" t="s">
        <v>124</v>
      </c>
      <c r="Q10" s="5" t="s">
        <v>594</v>
      </c>
      <c r="R10" t="s">
        <v>406</v>
      </c>
      <c r="S10" t="s">
        <v>595</v>
      </c>
      <c r="T10" t="s">
        <v>595</v>
      </c>
      <c r="U10" t="s">
        <v>260</v>
      </c>
      <c r="V10" s="4" t="s">
        <v>592</v>
      </c>
      <c r="W10">
        <v>7415</v>
      </c>
      <c r="X10" s="6" t="s">
        <v>262</v>
      </c>
      <c r="Y10" t="s">
        <v>593</v>
      </c>
    </row>
    <row r="11" spans="1:25" x14ac:dyDescent="0.2">
      <c r="A11">
        <v>66</v>
      </c>
      <c r="B11" t="s">
        <v>73</v>
      </c>
      <c r="C11">
        <v>911.16799051149803</v>
      </c>
      <c r="D11">
        <v>0.88143529044758795</v>
      </c>
      <c r="E11">
        <v>1009.9191014425299</v>
      </c>
      <c r="F11">
        <v>302.87148308548097</v>
      </c>
      <c r="G11">
        <v>10.8378599730652</v>
      </c>
      <c r="H11">
        <v>34261.170509940101</v>
      </c>
      <c r="I11" t="s">
        <v>9</v>
      </c>
      <c r="J11" t="s">
        <v>9</v>
      </c>
      <c r="L11">
        <v>223</v>
      </c>
      <c r="M11">
        <f>G11*-1</f>
        <v>-10.8378599730652</v>
      </c>
      <c r="N11">
        <v>18</v>
      </c>
      <c r="O11" t="s">
        <v>73</v>
      </c>
      <c r="P11" s="11" t="s">
        <v>73</v>
      </c>
      <c r="Q11" s="5" t="s">
        <v>73</v>
      </c>
      <c r="R11" t="s">
        <v>258</v>
      </c>
      <c r="S11" t="s">
        <v>422</v>
      </c>
      <c r="T11" t="s">
        <v>422</v>
      </c>
      <c r="U11" t="s">
        <v>260</v>
      </c>
      <c r="V11" s="4" t="s">
        <v>422</v>
      </c>
      <c r="W11">
        <v>355</v>
      </c>
      <c r="X11" s="6" t="s">
        <v>262</v>
      </c>
      <c r="Y11" t="s">
        <v>423</v>
      </c>
    </row>
    <row r="12" spans="1:25" x14ac:dyDescent="0.2">
      <c r="A12">
        <v>70</v>
      </c>
      <c r="B12" t="s">
        <v>77</v>
      </c>
      <c r="C12">
        <v>902.05947563148504</v>
      </c>
      <c r="D12">
        <v>0.75276942602048702</v>
      </c>
      <c r="E12">
        <v>1008.22534967589</v>
      </c>
      <c r="F12">
        <v>304.70330229999001</v>
      </c>
      <c r="G12">
        <v>11.7692765180573</v>
      </c>
      <c r="H12">
        <v>40377.6405320821</v>
      </c>
      <c r="I12" t="s">
        <v>9</v>
      </c>
      <c r="J12" t="s">
        <v>9</v>
      </c>
      <c r="L12">
        <v>228</v>
      </c>
      <c r="M12">
        <f>G12*-1</f>
        <v>-11.7692765180573</v>
      </c>
      <c r="N12">
        <v>13</v>
      </c>
      <c r="O12" t="s">
        <v>77</v>
      </c>
      <c r="P12" s="11" t="s">
        <v>686</v>
      </c>
      <c r="Q12" s="5" t="s">
        <v>686</v>
      </c>
      <c r="R12" t="s">
        <v>518</v>
      </c>
      <c r="S12" t="s">
        <v>687</v>
      </c>
      <c r="T12" t="s">
        <v>687</v>
      </c>
      <c r="U12" t="s">
        <v>260</v>
      </c>
      <c r="V12" s="4"/>
      <c r="X12" s="6" t="s">
        <v>262</v>
      </c>
    </row>
    <row r="13" spans="1:25" x14ac:dyDescent="0.2">
      <c r="A13">
        <v>56</v>
      </c>
      <c r="B13" t="s">
        <v>63</v>
      </c>
      <c r="C13">
        <v>919.00129480295902</v>
      </c>
      <c r="D13">
        <v>0.55796910263445798</v>
      </c>
      <c r="E13">
        <v>1013.55915134553</v>
      </c>
      <c r="F13">
        <v>304.903901365129</v>
      </c>
      <c r="G13">
        <v>10.2891973142263</v>
      </c>
      <c r="H13">
        <v>54545.302029363498</v>
      </c>
      <c r="I13" t="s">
        <v>9</v>
      </c>
      <c r="J13" t="s">
        <v>9</v>
      </c>
      <c r="L13">
        <v>217</v>
      </c>
      <c r="M13">
        <f>G13*-1</f>
        <v>-10.2891973142263</v>
      </c>
      <c r="N13">
        <v>24</v>
      </c>
      <c r="O13" t="s">
        <v>63</v>
      </c>
      <c r="P13" s="11" t="s">
        <v>63</v>
      </c>
      <c r="Q13" s="5" t="s">
        <v>63</v>
      </c>
      <c r="R13" t="s">
        <v>308</v>
      </c>
      <c r="S13" t="s">
        <v>644</v>
      </c>
      <c r="T13" t="s">
        <v>644</v>
      </c>
      <c r="U13" t="s">
        <v>260</v>
      </c>
      <c r="V13" s="4"/>
      <c r="X13" s="6" t="s">
        <v>262</v>
      </c>
    </row>
    <row r="14" spans="1:25" x14ac:dyDescent="0.2">
      <c r="A14">
        <v>73</v>
      </c>
      <c r="B14" s="5" t="s">
        <v>80</v>
      </c>
      <c r="C14">
        <v>915.49145891755097</v>
      </c>
      <c r="D14">
        <v>0.51909227455419105</v>
      </c>
      <c r="E14">
        <v>990.56245559376202</v>
      </c>
      <c r="F14">
        <v>305.60598083201501</v>
      </c>
      <c r="G14">
        <v>8.2000761388830696</v>
      </c>
      <c r="H14">
        <v>58773.151424662698</v>
      </c>
      <c r="I14" t="s">
        <v>9</v>
      </c>
      <c r="J14" t="s">
        <v>9</v>
      </c>
      <c r="L14">
        <v>195</v>
      </c>
      <c r="M14">
        <f>G14*-1</f>
        <v>-8.2000761388830696</v>
      </c>
      <c r="N14">
        <v>46</v>
      </c>
      <c r="O14" s="5" t="s">
        <v>80</v>
      </c>
      <c r="P14" s="5" t="s">
        <v>80</v>
      </c>
      <c r="Q14" s="5" t="s">
        <v>727</v>
      </c>
      <c r="R14" t="s">
        <v>308</v>
      </c>
      <c r="S14" t="s">
        <v>724</v>
      </c>
      <c r="T14" t="s">
        <v>724</v>
      </c>
      <c r="U14" t="s">
        <v>260</v>
      </c>
      <c r="V14" s="4" t="s">
        <v>725</v>
      </c>
      <c r="W14">
        <v>7350</v>
      </c>
      <c r="X14" s="6" t="s">
        <v>262</v>
      </c>
      <c r="Y14" t="s">
        <v>726</v>
      </c>
    </row>
    <row r="15" spans="1:25" x14ac:dyDescent="0.2">
      <c r="A15">
        <v>71</v>
      </c>
      <c r="B15" t="s">
        <v>78</v>
      </c>
      <c r="C15">
        <v>892.39458961497803</v>
      </c>
      <c r="D15">
        <v>0.62818803252454303</v>
      </c>
      <c r="E15">
        <v>1001.42453728891</v>
      </c>
      <c r="F15">
        <v>307.02947022580702</v>
      </c>
      <c r="G15">
        <v>12.2176836281548</v>
      </c>
      <c r="H15">
        <v>48775.409006428497</v>
      </c>
      <c r="I15" t="s">
        <v>9</v>
      </c>
      <c r="J15" t="s">
        <v>9</v>
      </c>
      <c r="L15">
        <v>231</v>
      </c>
      <c r="M15">
        <f>G15*-1</f>
        <v>-12.2176836281548</v>
      </c>
      <c r="N15">
        <v>10</v>
      </c>
      <c r="O15" t="s">
        <v>78</v>
      </c>
      <c r="P15" s="11" t="s">
        <v>78</v>
      </c>
      <c r="Q15" s="5" t="s">
        <v>78</v>
      </c>
      <c r="R15" t="s">
        <v>303</v>
      </c>
      <c r="S15" t="s">
        <v>438</v>
      </c>
      <c r="T15" t="s">
        <v>438</v>
      </c>
      <c r="U15" t="s">
        <v>260</v>
      </c>
      <c r="V15" s="4" t="s">
        <v>439</v>
      </c>
      <c r="W15">
        <v>2678</v>
      </c>
      <c r="X15" s="6" t="s">
        <v>262</v>
      </c>
      <c r="Y15" t="s">
        <v>440</v>
      </c>
    </row>
    <row r="16" spans="1:25" x14ac:dyDescent="0.2">
      <c r="A16">
        <v>40</v>
      </c>
      <c r="B16" t="s">
        <v>47</v>
      </c>
      <c r="C16">
        <v>803.88561421285397</v>
      </c>
      <c r="D16">
        <v>15.1088116683521</v>
      </c>
      <c r="E16">
        <v>825.50963571992202</v>
      </c>
      <c r="F16">
        <v>307.76384138371799</v>
      </c>
      <c r="G16">
        <v>2.6899376136046298</v>
      </c>
      <c r="H16">
        <v>1936.9824453393601</v>
      </c>
      <c r="I16" s="1">
        <v>2.46787526850982E-6</v>
      </c>
      <c r="J16" s="1">
        <v>2.0954081776475599E-6</v>
      </c>
      <c r="L16">
        <v>147</v>
      </c>
      <c r="M16">
        <f>G16*-1</f>
        <v>-2.6899376136046298</v>
      </c>
      <c r="N16">
        <v>94</v>
      </c>
      <c r="O16" t="s">
        <v>47</v>
      </c>
      <c r="P16" s="11" t="s">
        <v>47</v>
      </c>
      <c r="Q16" s="5" t="s">
        <v>47</v>
      </c>
      <c r="R16" t="s">
        <v>303</v>
      </c>
      <c r="S16" t="s">
        <v>467</v>
      </c>
      <c r="T16" t="s">
        <v>467</v>
      </c>
      <c r="U16" t="s">
        <v>260</v>
      </c>
      <c r="V16" s="4" t="s">
        <v>382</v>
      </c>
      <c r="X16" s="6" t="s">
        <v>262</v>
      </c>
    </row>
    <row r="17" spans="1:25" ht="17" customHeight="1" x14ac:dyDescent="0.2">
      <c r="A17">
        <v>58</v>
      </c>
      <c r="B17" t="s">
        <v>65</v>
      </c>
      <c r="C17">
        <v>701.04365548433304</v>
      </c>
      <c r="D17">
        <v>12.6594072940252</v>
      </c>
      <c r="E17">
        <v>782.29580044533805</v>
      </c>
      <c r="F17">
        <v>309.733398777768</v>
      </c>
      <c r="G17">
        <v>11.5901690751156</v>
      </c>
      <c r="H17">
        <v>2346.6658792465901</v>
      </c>
      <c r="I17" s="1">
        <v>7.2599843783217002E-7</v>
      </c>
      <c r="J17" s="1">
        <v>8.4682805309098002E-7</v>
      </c>
      <c r="L17">
        <v>225</v>
      </c>
      <c r="M17">
        <f>G17*-1</f>
        <v>-11.5901690751156</v>
      </c>
      <c r="N17">
        <v>16</v>
      </c>
      <c r="O17" t="s">
        <v>65</v>
      </c>
      <c r="P17" s="11" t="s">
        <v>652</v>
      </c>
      <c r="Q17" s="5" t="s">
        <v>652</v>
      </c>
      <c r="R17" t="s">
        <v>299</v>
      </c>
      <c r="S17" t="s">
        <v>653</v>
      </c>
      <c r="T17" t="s">
        <v>653</v>
      </c>
      <c r="U17" t="s">
        <v>260</v>
      </c>
      <c r="V17" s="4" t="s">
        <v>654</v>
      </c>
      <c r="W17">
        <v>5914</v>
      </c>
      <c r="X17" s="6" t="s">
        <v>262</v>
      </c>
      <c r="Y17" t="s">
        <v>655</v>
      </c>
    </row>
    <row r="18" spans="1:25" x14ac:dyDescent="0.2">
      <c r="A18">
        <v>63</v>
      </c>
      <c r="B18" t="s">
        <v>70</v>
      </c>
      <c r="C18">
        <v>909.35572365127496</v>
      </c>
      <c r="D18">
        <v>0.62564382599382695</v>
      </c>
      <c r="E18">
        <v>1017.03552562991</v>
      </c>
      <c r="F18">
        <v>310.37820738386699</v>
      </c>
      <c r="G18">
        <v>11.8413288857162</v>
      </c>
      <c r="H18">
        <v>49509.409457663103</v>
      </c>
      <c r="I18" t="s">
        <v>9</v>
      </c>
      <c r="J18" t="s">
        <v>9</v>
      </c>
      <c r="L18">
        <v>229</v>
      </c>
      <c r="M18">
        <f>G18*-1</f>
        <v>-11.8413288857162</v>
      </c>
      <c r="N18">
        <v>12</v>
      </c>
      <c r="O18" t="s">
        <v>70</v>
      </c>
      <c r="P18" s="11" t="s">
        <v>70</v>
      </c>
      <c r="Q18" s="5" t="s">
        <v>70</v>
      </c>
      <c r="R18" t="s">
        <v>361</v>
      </c>
      <c r="S18" t="s">
        <v>362</v>
      </c>
      <c r="T18" t="s">
        <v>362</v>
      </c>
      <c r="U18" t="s">
        <v>260</v>
      </c>
      <c r="V18" s="4" t="s">
        <v>382</v>
      </c>
      <c r="X18" s="6" t="s">
        <v>262</v>
      </c>
    </row>
    <row r="19" spans="1:25" x14ac:dyDescent="0.2">
      <c r="A19">
        <v>77</v>
      </c>
      <c r="B19" t="s">
        <v>84</v>
      </c>
      <c r="C19">
        <v>370.54320505638799</v>
      </c>
      <c r="D19">
        <v>60.6126747814005</v>
      </c>
      <c r="E19">
        <v>361.51266203933</v>
      </c>
      <c r="F19">
        <v>314.039682930776</v>
      </c>
      <c r="G19">
        <v>-2.4371093286364598</v>
      </c>
      <c r="H19">
        <v>418.10893359080399</v>
      </c>
      <c r="I19" s="1">
        <v>2.2637336856289E-8</v>
      </c>
      <c r="J19" s="1">
        <v>1.7113290223859101E-8</v>
      </c>
      <c r="L19">
        <v>124</v>
      </c>
      <c r="M19">
        <f>G19*-1</f>
        <v>2.4371093286364598</v>
      </c>
      <c r="N19">
        <v>117</v>
      </c>
      <c r="O19" t="s">
        <v>84</v>
      </c>
      <c r="P19" s="11" t="s">
        <v>383</v>
      </c>
      <c r="Q19" s="5" t="s">
        <v>383</v>
      </c>
      <c r="R19" t="s">
        <v>361</v>
      </c>
      <c r="S19" t="s">
        <v>362</v>
      </c>
      <c r="T19" t="s">
        <v>362</v>
      </c>
      <c r="U19" t="s">
        <v>260</v>
      </c>
      <c r="V19" s="4" t="s">
        <v>384</v>
      </c>
      <c r="W19">
        <v>5422</v>
      </c>
      <c r="X19" s="6" t="s">
        <v>262</v>
      </c>
      <c r="Y19" t="s">
        <v>385</v>
      </c>
    </row>
    <row r="20" spans="1:25" x14ac:dyDescent="0.2">
      <c r="A20">
        <v>62</v>
      </c>
      <c r="B20" t="s">
        <v>69</v>
      </c>
      <c r="C20">
        <v>931.80772992011202</v>
      </c>
      <c r="D20">
        <v>0.69645763451459297</v>
      </c>
      <c r="E20">
        <v>1025.28458673203</v>
      </c>
      <c r="F20">
        <v>314.08916909144398</v>
      </c>
      <c r="G20">
        <v>10.0317752053781</v>
      </c>
      <c r="H20">
        <v>44998.101237752002</v>
      </c>
      <c r="I20" t="s">
        <v>9</v>
      </c>
      <c r="J20" t="s">
        <v>9</v>
      </c>
      <c r="L20">
        <v>213</v>
      </c>
      <c r="M20">
        <f>G20*-1</f>
        <v>-10.0317752053781</v>
      </c>
      <c r="N20">
        <v>28</v>
      </c>
      <c r="O20" t="s">
        <v>69</v>
      </c>
      <c r="P20" s="11" t="s">
        <v>69</v>
      </c>
      <c r="Q20" s="5" t="s">
        <v>69</v>
      </c>
      <c r="R20" t="s">
        <v>299</v>
      </c>
      <c r="S20" t="s">
        <v>354</v>
      </c>
      <c r="T20" t="s">
        <v>354</v>
      </c>
      <c r="U20" t="s">
        <v>260</v>
      </c>
      <c r="V20" s="4" t="s">
        <v>354</v>
      </c>
      <c r="W20">
        <v>4513</v>
      </c>
      <c r="X20" s="6" t="s">
        <v>262</v>
      </c>
      <c r="Y20" t="s">
        <v>355</v>
      </c>
    </row>
    <row r="21" spans="1:25" x14ac:dyDescent="0.2">
      <c r="A21">
        <v>89</v>
      </c>
      <c r="B21" t="s">
        <v>96</v>
      </c>
      <c r="C21">
        <v>864.96065369622897</v>
      </c>
      <c r="D21">
        <v>1.81018324844804</v>
      </c>
      <c r="E21">
        <v>899.92822392997903</v>
      </c>
      <c r="F21">
        <v>315.20420908121798</v>
      </c>
      <c r="G21">
        <v>4.04267755814364</v>
      </c>
      <c r="H21">
        <v>17312.834272522301</v>
      </c>
      <c r="I21" t="s">
        <v>9</v>
      </c>
      <c r="J21" t="s">
        <v>9</v>
      </c>
      <c r="L21">
        <v>160</v>
      </c>
      <c r="M21">
        <f>G21*-1</f>
        <v>-4.04267755814364</v>
      </c>
      <c r="N21">
        <v>81</v>
      </c>
      <c r="O21" t="s">
        <v>96</v>
      </c>
      <c r="P21" s="11" t="s">
        <v>424</v>
      </c>
      <c r="Q21" s="5" t="s">
        <v>424</v>
      </c>
      <c r="R21" t="s">
        <v>258</v>
      </c>
      <c r="S21" t="s">
        <v>422</v>
      </c>
      <c r="T21" t="s">
        <v>422</v>
      </c>
      <c r="U21" t="s">
        <v>260</v>
      </c>
      <c r="V21" s="4" t="s">
        <v>422</v>
      </c>
      <c r="W21">
        <v>355</v>
      </c>
      <c r="X21" s="6" t="s">
        <v>262</v>
      </c>
      <c r="Y21" t="s">
        <v>423</v>
      </c>
    </row>
    <row r="22" spans="1:25" x14ac:dyDescent="0.2">
      <c r="A22">
        <v>55</v>
      </c>
      <c r="B22" t="s">
        <v>62</v>
      </c>
      <c r="C22">
        <v>910.00725223177699</v>
      </c>
      <c r="D22">
        <v>0.63818030344180199</v>
      </c>
      <c r="E22">
        <v>1020.76483509431</v>
      </c>
      <c r="F22">
        <v>316.22581452881002</v>
      </c>
      <c r="G22">
        <v>12.171065954793299</v>
      </c>
      <c r="H22">
        <v>49451.171169551402</v>
      </c>
      <c r="I22" t="s">
        <v>9</v>
      </c>
      <c r="J22" t="s">
        <v>9</v>
      </c>
      <c r="L22">
        <v>230</v>
      </c>
      <c r="M22">
        <f>G22*-1</f>
        <v>-12.171065954793299</v>
      </c>
      <c r="N22">
        <v>11</v>
      </c>
      <c r="O22" t="s">
        <v>62</v>
      </c>
      <c r="P22" s="11" t="s">
        <v>62</v>
      </c>
      <c r="Q22" s="5" t="s">
        <v>62</v>
      </c>
      <c r="R22" t="s">
        <v>518</v>
      </c>
      <c r="S22" t="s">
        <v>674</v>
      </c>
      <c r="T22" t="s">
        <v>674</v>
      </c>
      <c r="U22" t="s">
        <v>260</v>
      </c>
      <c r="V22" s="4" t="s">
        <v>675</v>
      </c>
      <c r="W22">
        <v>6524</v>
      </c>
      <c r="X22" s="6" t="s">
        <v>262</v>
      </c>
      <c r="Y22" t="s">
        <v>676</v>
      </c>
    </row>
    <row r="23" spans="1:25" x14ac:dyDescent="0.2">
      <c r="A23">
        <v>59</v>
      </c>
      <c r="B23" t="s">
        <v>66</v>
      </c>
      <c r="C23">
        <v>907.749150152722</v>
      </c>
      <c r="D23">
        <v>0.53900644260640995</v>
      </c>
      <c r="E23">
        <v>1019.06873148276</v>
      </c>
      <c r="F23">
        <v>316.34668315856902</v>
      </c>
      <c r="G23">
        <v>12.263253709607699</v>
      </c>
      <c r="H23">
        <v>58590.705370579402</v>
      </c>
      <c r="I23" t="s">
        <v>9</v>
      </c>
      <c r="J23" t="s">
        <v>9</v>
      </c>
      <c r="L23">
        <v>232</v>
      </c>
      <c r="M23">
        <f>G23*-1</f>
        <v>-12.263253709607699</v>
      </c>
      <c r="N23">
        <v>9</v>
      </c>
      <c r="O23" t="s">
        <v>66</v>
      </c>
      <c r="P23" s="11" t="s">
        <v>66</v>
      </c>
      <c r="Q23" s="5" t="s">
        <v>66</v>
      </c>
      <c r="R23" t="s">
        <v>308</v>
      </c>
      <c r="S23" t="s">
        <v>616</v>
      </c>
      <c r="T23" t="s">
        <v>616</v>
      </c>
      <c r="U23" t="s">
        <v>260</v>
      </c>
      <c r="V23" s="4" t="s">
        <v>617</v>
      </c>
      <c r="W23">
        <v>5163</v>
      </c>
      <c r="X23" s="6" t="s">
        <v>262</v>
      </c>
      <c r="Y23" t="s">
        <v>618</v>
      </c>
    </row>
    <row r="24" spans="1:25" x14ac:dyDescent="0.2">
      <c r="A24">
        <v>114</v>
      </c>
      <c r="B24" t="s">
        <v>121</v>
      </c>
      <c r="C24">
        <v>926.10280115839896</v>
      </c>
      <c r="D24">
        <v>0.60540501889093801</v>
      </c>
      <c r="E24">
        <v>1005.73324401634</v>
      </c>
      <c r="F24">
        <v>316.663929921386</v>
      </c>
      <c r="G24">
        <v>8.5984453084836101</v>
      </c>
      <c r="H24">
        <v>52206.128961648297</v>
      </c>
      <c r="I24" t="s">
        <v>9</v>
      </c>
      <c r="J24" t="s">
        <v>9</v>
      </c>
      <c r="L24">
        <v>199</v>
      </c>
      <c r="M24">
        <f>G24*-1</f>
        <v>-8.5984453084836101</v>
      </c>
      <c r="N24">
        <v>42</v>
      </c>
      <c r="O24" t="s">
        <v>121</v>
      </c>
      <c r="P24" s="11" t="s">
        <v>121</v>
      </c>
      <c r="Q24" s="5" t="s">
        <v>121</v>
      </c>
      <c r="R24" t="s">
        <v>445</v>
      </c>
      <c r="S24" t="s">
        <v>537</v>
      </c>
      <c r="T24" t="s">
        <v>537</v>
      </c>
      <c r="U24" t="s">
        <v>260</v>
      </c>
      <c r="V24" s="4" t="s">
        <v>538</v>
      </c>
      <c r="W24">
        <v>11253</v>
      </c>
      <c r="X24" s="6" t="s">
        <v>262</v>
      </c>
      <c r="Y24" t="s">
        <v>539</v>
      </c>
    </row>
    <row r="25" spans="1:25" ht="16" customHeight="1" x14ac:dyDescent="0.2">
      <c r="A25">
        <v>52</v>
      </c>
      <c r="B25" t="s">
        <v>59</v>
      </c>
      <c r="C25">
        <v>922.11174454508796</v>
      </c>
      <c r="D25">
        <v>0.72510519470706103</v>
      </c>
      <c r="E25">
        <v>1020.40388919179</v>
      </c>
      <c r="F25">
        <v>318.62102178302899</v>
      </c>
      <c r="G25">
        <v>10.659461310211499</v>
      </c>
      <c r="H25">
        <v>43841.351421672101</v>
      </c>
      <c r="I25" t="s">
        <v>9</v>
      </c>
      <c r="J25" t="s">
        <v>9</v>
      </c>
      <c r="L25">
        <v>221</v>
      </c>
      <c r="M25">
        <f>G25*-1</f>
        <v>-10.659461310211499</v>
      </c>
      <c r="N25">
        <v>20</v>
      </c>
      <c r="O25" t="s">
        <v>59</v>
      </c>
      <c r="P25" s="11" t="s">
        <v>59</v>
      </c>
      <c r="Q25" s="5" t="s">
        <v>59</v>
      </c>
      <c r="R25" t="s">
        <v>518</v>
      </c>
      <c r="S25" t="s">
        <v>550</v>
      </c>
      <c r="T25" t="s">
        <v>550</v>
      </c>
      <c r="U25" t="s">
        <v>260</v>
      </c>
      <c r="V25" s="4" t="s">
        <v>547</v>
      </c>
      <c r="W25">
        <v>6566</v>
      </c>
      <c r="X25" s="6" t="s">
        <v>262</v>
      </c>
      <c r="Y25" t="s">
        <v>548</v>
      </c>
    </row>
    <row r="26" spans="1:25" x14ac:dyDescent="0.2">
      <c r="A26">
        <v>60</v>
      </c>
      <c r="B26" t="s">
        <v>67</v>
      </c>
      <c r="C26">
        <v>924.189180733988</v>
      </c>
      <c r="D26">
        <v>0.55722182019849897</v>
      </c>
      <c r="E26">
        <v>1007.81242624945</v>
      </c>
      <c r="F26">
        <v>323.29917003357099</v>
      </c>
      <c r="G26">
        <v>9.0482822412014503</v>
      </c>
      <c r="H26">
        <v>57919.833092394401</v>
      </c>
      <c r="I26" t="s">
        <v>9</v>
      </c>
      <c r="J26" t="s">
        <v>9</v>
      </c>
      <c r="L26">
        <v>206</v>
      </c>
      <c r="M26">
        <f>G26*-1</f>
        <v>-9.0482822412014503</v>
      </c>
      <c r="N26">
        <v>35</v>
      </c>
      <c r="O26" t="s">
        <v>67</v>
      </c>
      <c r="P26" s="11" t="s">
        <v>732</v>
      </c>
      <c r="Q26" s="5" t="s">
        <v>732</v>
      </c>
      <c r="R26" t="s">
        <v>518</v>
      </c>
      <c r="S26" t="s">
        <v>729</v>
      </c>
      <c r="T26" t="s">
        <v>729</v>
      </c>
      <c r="U26" t="s">
        <v>260</v>
      </c>
      <c r="V26" s="4"/>
      <c r="X26" s="6" t="s">
        <v>262</v>
      </c>
    </row>
    <row r="27" spans="1:25" x14ac:dyDescent="0.2">
      <c r="A27">
        <v>50</v>
      </c>
      <c r="B27" t="s">
        <v>57</v>
      </c>
      <c r="C27">
        <v>926.83390457622397</v>
      </c>
      <c r="D27">
        <v>0.68048270135984301</v>
      </c>
      <c r="E27">
        <v>1033.0768086467399</v>
      </c>
      <c r="F27">
        <v>325.12374296800999</v>
      </c>
      <c r="G27">
        <v>11.4629928346329</v>
      </c>
      <c r="H27">
        <v>47678.3994094632</v>
      </c>
      <c r="I27" t="s">
        <v>9</v>
      </c>
      <c r="J27" t="s">
        <v>9</v>
      </c>
      <c r="L27">
        <v>224</v>
      </c>
      <c r="M27">
        <f>G27*-1</f>
        <v>-11.4629928346329</v>
      </c>
      <c r="N27">
        <v>17</v>
      </c>
      <c r="O27" t="s">
        <v>57</v>
      </c>
      <c r="P27" s="11" t="s">
        <v>57</v>
      </c>
      <c r="Q27" s="5" t="s">
        <v>57</v>
      </c>
      <c r="R27" t="s">
        <v>445</v>
      </c>
      <c r="S27" t="s">
        <v>446</v>
      </c>
      <c r="T27" t="s">
        <v>446</v>
      </c>
      <c r="U27" t="s">
        <v>260</v>
      </c>
      <c r="V27" s="4" t="s">
        <v>447</v>
      </c>
      <c r="W27">
        <v>8972</v>
      </c>
      <c r="X27" s="6" t="s">
        <v>262</v>
      </c>
      <c r="Y27" t="s">
        <v>448</v>
      </c>
    </row>
    <row r="28" spans="1:25" ht="16" customHeight="1" x14ac:dyDescent="0.2">
      <c r="A28">
        <v>61</v>
      </c>
      <c r="B28" t="s">
        <v>68</v>
      </c>
      <c r="C28">
        <v>937.466758996772</v>
      </c>
      <c r="D28">
        <v>0.90245684050195496</v>
      </c>
      <c r="E28">
        <v>1009.56791581504</v>
      </c>
      <c r="F28">
        <v>330.27727245250799</v>
      </c>
      <c r="G28">
        <v>7.6910627631670101</v>
      </c>
      <c r="H28">
        <v>36497.569837113202</v>
      </c>
      <c r="I28" t="s">
        <v>9</v>
      </c>
      <c r="J28" t="s">
        <v>9</v>
      </c>
      <c r="L28">
        <v>192</v>
      </c>
      <c r="M28">
        <f>G28*-1</f>
        <v>-7.6910627631670101</v>
      </c>
      <c r="N28">
        <v>49</v>
      </c>
      <c r="O28" t="s">
        <v>68</v>
      </c>
      <c r="P28" s="11" t="s">
        <v>68</v>
      </c>
      <c r="Q28" s="5" t="s">
        <v>68</v>
      </c>
      <c r="R28" t="s">
        <v>258</v>
      </c>
      <c r="S28" t="s">
        <v>282</v>
      </c>
      <c r="T28" t="s">
        <v>282</v>
      </c>
      <c r="U28" t="s">
        <v>260</v>
      </c>
      <c r="V28" s="4" t="s">
        <v>283</v>
      </c>
      <c r="W28">
        <v>216</v>
      </c>
      <c r="X28" s="6" t="s">
        <v>262</v>
      </c>
      <c r="Y28" t="s">
        <v>284</v>
      </c>
    </row>
    <row r="29" spans="1:25" x14ac:dyDescent="0.2">
      <c r="A29">
        <v>94</v>
      </c>
      <c r="B29" t="s">
        <v>101</v>
      </c>
      <c r="C29">
        <v>913.43601743775002</v>
      </c>
      <c r="D29">
        <v>0.88393178768802305</v>
      </c>
      <c r="E29">
        <v>962.16351402955695</v>
      </c>
      <c r="F29">
        <v>331.19831470244901</v>
      </c>
      <c r="G29">
        <v>5.3345276145877403</v>
      </c>
      <c r="H29">
        <v>37368.7639154508</v>
      </c>
      <c r="I29" s="1">
        <v>1.35502540887299E-5</v>
      </c>
      <c r="J29" t="s">
        <v>9</v>
      </c>
      <c r="L29">
        <v>169</v>
      </c>
      <c r="M29">
        <f>G29*-1</f>
        <v>-5.3345276145877403</v>
      </c>
      <c r="N29">
        <v>72</v>
      </c>
      <c r="O29" t="s">
        <v>101</v>
      </c>
      <c r="P29" s="11" t="s">
        <v>101</v>
      </c>
      <c r="Q29" s="5" t="s">
        <v>101</v>
      </c>
      <c r="R29" t="s">
        <v>303</v>
      </c>
      <c r="S29" t="s">
        <v>729</v>
      </c>
      <c r="T29" t="s">
        <v>729</v>
      </c>
      <c r="U29" t="s">
        <v>260</v>
      </c>
      <c r="V29" s="4" t="s">
        <v>733</v>
      </c>
      <c r="W29">
        <v>23657</v>
      </c>
      <c r="X29" s="6" t="s">
        <v>262</v>
      </c>
      <c r="Y29" t="s">
        <v>734</v>
      </c>
    </row>
    <row r="30" spans="1:25" x14ac:dyDescent="0.2">
      <c r="A30">
        <v>67</v>
      </c>
      <c r="B30" t="s">
        <v>74</v>
      </c>
      <c r="C30">
        <v>900.75586608100798</v>
      </c>
      <c r="D30">
        <v>0.62523447109587105</v>
      </c>
      <c r="E30">
        <v>1005.81236183344</v>
      </c>
      <c r="F30">
        <v>331.87092278994299</v>
      </c>
      <c r="G30">
        <v>11.663148663079401</v>
      </c>
      <c r="H30">
        <v>52979.434697236102</v>
      </c>
      <c r="I30" t="s">
        <v>9</v>
      </c>
      <c r="J30" t="s">
        <v>9</v>
      </c>
      <c r="L30">
        <v>227</v>
      </c>
      <c r="M30">
        <f>G30*-1</f>
        <v>-11.663148663079401</v>
      </c>
      <c r="N30">
        <v>14</v>
      </c>
      <c r="O30" t="s">
        <v>74</v>
      </c>
      <c r="P30" s="11" t="s">
        <v>74</v>
      </c>
      <c r="Q30" s="5" t="s">
        <v>74</v>
      </c>
      <c r="R30" t="s">
        <v>317</v>
      </c>
      <c r="S30" t="s">
        <v>471</v>
      </c>
      <c r="T30" t="s">
        <v>471</v>
      </c>
      <c r="U30" t="s">
        <v>260</v>
      </c>
      <c r="V30" s="4" t="s">
        <v>471</v>
      </c>
      <c r="W30">
        <v>3091</v>
      </c>
      <c r="X30" s="6" t="s">
        <v>262</v>
      </c>
      <c r="Y30" t="s">
        <v>472</v>
      </c>
    </row>
    <row r="31" spans="1:25" x14ac:dyDescent="0.2">
      <c r="A31">
        <v>22</v>
      </c>
      <c r="B31" t="s">
        <v>29</v>
      </c>
      <c r="C31">
        <v>794.153288591467</v>
      </c>
      <c r="D31">
        <v>58.009025626929301</v>
      </c>
      <c r="E31">
        <v>837.327976137836</v>
      </c>
      <c r="F31">
        <v>347.12591501054197</v>
      </c>
      <c r="G31">
        <v>5.4365685021522001</v>
      </c>
      <c r="H31">
        <v>498.39983736840702</v>
      </c>
      <c r="I31" s="1">
        <v>2.5237742865092099E-6</v>
      </c>
      <c r="J31" s="1">
        <v>2.09678845530713E-6</v>
      </c>
      <c r="L31">
        <v>171</v>
      </c>
      <c r="M31">
        <f>G31*-1</f>
        <v>-5.4365685021522001</v>
      </c>
      <c r="N31">
        <v>70</v>
      </c>
      <c r="O31" t="s">
        <v>29</v>
      </c>
      <c r="P31" t="s">
        <v>25</v>
      </c>
      <c r="Q31" s="5" t="s">
        <v>477</v>
      </c>
      <c r="R31" t="s">
        <v>414</v>
      </c>
      <c r="S31" t="s">
        <v>478</v>
      </c>
      <c r="T31" t="s">
        <v>478</v>
      </c>
      <c r="U31" t="s">
        <v>260</v>
      </c>
      <c r="V31" s="4" t="s">
        <v>479</v>
      </c>
      <c r="W31">
        <v>3098</v>
      </c>
      <c r="X31" s="6" t="s">
        <v>262</v>
      </c>
      <c r="Y31" t="s">
        <v>480</v>
      </c>
    </row>
    <row r="32" spans="1:25" x14ac:dyDescent="0.2">
      <c r="A32">
        <v>104</v>
      </c>
      <c r="B32" t="s">
        <v>111</v>
      </c>
      <c r="C32">
        <v>892.93778839902404</v>
      </c>
      <c r="D32">
        <v>1.36931460775447</v>
      </c>
      <c r="E32">
        <v>957.13055478795002</v>
      </c>
      <c r="F32">
        <v>348.17891813314702</v>
      </c>
      <c r="G32">
        <v>7.1889405088364704</v>
      </c>
      <c r="H32">
        <v>25327.2404720872</v>
      </c>
      <c r="I32" s="1">
        <v>6.5421102633221301E-6</v>
      </c>
      <c r="J32" s="1">
        <v>6.7271628013593798E-6</v>
      </c>
      <c r="L32">
        <v>185</v>
      </c>
      <c r="M32">
        <f>G32*-1</f>
        <v>-7.1889405088364704</v>
      </c>
      <c r="N32">
        <v>56</v>
      </c>
      <c r="O32" t="s">
        <v>111</v>
      </c>
      <c r="P32" s="11" t="s">
        <v>682</v>
      </c>
      <c r="Q32" s="5" t="s">
        <v>682</v>
      </c>
      <c r="R32" t="s">
        <v>303</v>
      </c>
      <c r="S32" t="s">
        <v>683</v>
      </c>
      <c r="T32" t="s">
        <v>683</v>
      </c>
      <c r="U32" t="s">
        <v>260</v>
      </c>
      <c r="V32" s="4" t="s">
        <v>683</v>
      </c>
      <c r="W32">
        <v>6647</v>
      </c>
      <c r="X32" s="6" t="s">
        <v>262</v>
      </c>
      <c r="Y32" t="s">
        <v>684</v>
      </c>
    </row>
    <row r="33" spans="1:25" x14ac:dyDescent="0.2">
      <c r="A33">
        <v>2</v>
      </c>
      <c r="B33">
        <v>968</v>
      </c>
      <c r="C33">
        <v>922.75378520738798</v>
      </c>
      <c r="D33">
        <v>0.70243563232545503</v>
      </c>
      <c r="E33">
        <v>1037.58603187536</v>
      </c>
      <c r="F33">
        <v>353.17457696405302</v>
      </c>
      <c r="G33">
        <v>12.444516458111099</v>
      </c>
      <c r="H33">
        <v>50178.567987054797</v>
      </c>
      <c r="I33" t="s">
        <v>9</v>
      </c>
      <c r="J33" t="s">
        <v>9</v>
      </c>
      <c r="L33">
        <v>234</v>
      </c>
      <c r="M33">
        <f>G33*-1</f>
        <v>-12.444516458111099</v>
      </c>
      <c r="N33">
        <v>7</v>
      </c>
      <c r="O33">
        <v>968</v>
      </c>
      <c r="P33" s="11">
        <v>968</v>
      </c>
      <c r="Q33" s="5">
        <v>968</v>
      </c>
      <c r="R33" t="s">
        <v>434</v>
      </c>
      <c r="S33" t="s">
        <v>441</v>
      </c>
      <c r="T33" t="s">
        <v>441</v>
      </c>
      <c r="U33" t="s">
        <v>260</v>
      </c>
      <c r="V33" s="4" t="s">
        <v>441</v>
      </c>
      <c r="W33">
        <v>2744</v>
      </c>
      <c r="X33" s="6" t="s">
        <v>262</v>
      </c>
      <c r="Y33" t="s">
        <v>442</v>
      </c>
    </row>
    <row r="34" spans="1:25" x14ac:dyDescent="0.2">
      <c r="A34">
        <v>57</v>
      </c>
      <c r="B34" t="s">
        <v>64</v>
      </c>
      <c r="C34">
        <v>919.18002241932504</v>
      </c>
      <c r="D34">
        <v>0.50811524762042903</v>
      </c>
      <c r="E34">
        <v>1011.95908982547</v>
      </c>
      <c r="F34">
        <v>354.733333319172</v>
      </c>
      <c r="G34">
        <v>10.0936775324975</v>
      </c>
      <c r="H34">
        <v>69713.558042281802</v>
      </c>
      <c r="I34" t="s">
        <v>9</v>
      </c>
      <c r="J34" t="s">
        <v>9</v>
      </c>
      <c r="L34">
        <v>214</v>
      </c>
      <c r="M34">
        <f>G34*-1</f>
        <v>-10.0936775324975</v>
      </c>
      <c r="N34">
        <v>27</v>
      </c>
      <c r="O34" t="s">
        <v>64</v>
      </c>
      <c r="P34" s="11" t="s">
        <v>64</v>
      </c>
      <c r="Q34" s="5" t="s">
        <v>64</v>
      </c>
      <c r="R34" t="s">
        <v>299</v>
      </c>
      <c r="S34" t="s">
        <v>606</v>
      </c>
      <c r="T34" t="s">
        <v>606</v>
      </c>
      <c r="U34" t="s">
        <v>260</v>
      </c>
      <c r="V34" s="4" t="s">
        <v>607</v>
      </c>
      <c r="W34">
        <v>8654</v>
      </c>
      <c r="X34" s="6" t="s">
        <v>262</v>
      </c>
      <c r="Y34" t="s">
        <v>608</v>
      </c>
    </row>
    <row r="35" spans="1:25" x14ac:dyDescent="0.2">
      <c r="A35">
        <v>23</v>
      </c>
      <c r="B35" t="s">
        <v>30</v>
      </c>
      <c r="C35">
        <v>700.00640570281701</v>
      </c>
      <c r="D35">
        <v>0.51980473771532898</v>
      </c>
      <c r="E35">
        <v>736.66100889288498</v>
      </c>
      <c r="F35">
        <v>357.40492654399998</v>
      </c>
      <c r="G35">
        <v>5.2363239666736998</v>
      </c>
      <c r="H35">
        <v>68657.535399712506</v>
      </c>
      <c r="I35" t="s">
        <v>9</v>
      </c>
      <c r="J35" t="s">
        <v>9</v>
      </c>
      <c r="L35">
        <v>166</v>
      </c>
      <c r="M35">
        <f>G35*-1</f>
        <v>-5.2363239666736998</v>
      </c>
      <c r="N35">
        <v>75</v>
      </c>
      <c r="O35" t="s">
        <v>30</v>
      </c>
      <c r="P35" s="11" t="s">
        <v>312</v>
      </c>
      <c r="Q35" s="5" t="s">
        <v>312</v>
      </c>
      <c r="R35" t="s">
        <v>308</v>
      </c>
      <c r="S35" t="s">
        <v>313</v>
      </c>
      <c r="T35" t="s">
        <v>313</v>
      </c>
      <c r="U35" t="s">
        <v>260</v>
      </c>
      <c r="V35" s="4" t="s">
        <v>314</v>
      </c>
      <c r="W35">
        <v>596</v>
      </c>
      <c r="X35" s="6" t="s">
        <v>262</v>
      </c>
      <c r="Y35" t="s">
        <v>315</v>
      </c>
    </row>
    <row r="36" spans="1:25" x14ac:dyDescent="0.2">
      <c r="A36">
        <v>32</v>
      </c>
      <c r="B36" t="s">
        <v>39</v>
      </c>
      <c r="C36">
        <v>916.26447231719499</v>
      </c>
      <c r="D36">
        <v>1.8236413553400099</v>
      </c>
      <c r="E36">
        <v>1030.17156138062</v>
      </c>
      <c r="F36">
        <v>359.05111904216898</v>
      </c>
      <c r="G36">
        <v>12.4316823913689</v>
      </c>
      <c r="H36">
        <v>19588.691419000301</v>
      </c>
      <c r="I36" t="s">
        <v>9</v>
      </c>
      <c r="J36" t="s">
        <v>9</v>
      </c>
      <c r="L36">
        <v>233</v>
      </c>
      <c r="M36">
        <f>G36*-1</f>
        <v>-12.4316823913689</v>
      </c>
      <c r="N36">
        <v>8</v>
      </c>
      <c r="O36" t="s">
        <v>39</v>
      </c>
      <c r="P36" s="11" t="s">
        <v>549</v>
      </c>
      <c r="Q36" s="5" t="s">
        <v>549</v>
      </c>
      <c r="R36" t="s">
        <v>518</v>
      </c>
      <c r="S36" t="s">
        <v>550</v>
      </c>
      <c r="T36" t="s">
        <v>550</v>
      </c>
      <c r="U36" t="s">
        <v>260</v>
      </c>
      <c r="V36" s="4" t="s">
        <v>547</v>
      </c>
      <c r="W36">
        <v>6566</v>
      </c>
      <c r="X36" s="6" t="s">
        <v>262</v>
      </c>
      <c r="Y36" t="s">
        <v>548</v>
      </c>
    </row>
    <row r="37" spans="1:25" x14ac:dyDescent="0.2">
      <c r="A37">
        <v>93</v>
      </c>
      <c r="B37" t="s">
        <v>100</v>
      </c>
      <c r="C37">
        <v>942.72846231788401</v>
      </c>
      <c r="D37">
        <v>0.494119728703658</v>
      </c>
      <c r="E37">
        <v>1010.39479722914</v>
      </c>
      <c r="F37">
        <v>360.45311868814298</v>
      </c>
      <c r="G37">
        <v>7.17771210013996</v>
      </c>
      <c r="H37">
        <v>72848.538127349399</v>
      </c>
      <c r="I37" t="s">
        <v>9</v>
      </c>
      <c r="J37" t="s">
        <v>9</v>
      </c>
      <c r="L37">
        <v>184</v>
      </c>
      <c r="M37">
        <f>G37*-1</f>
        <v>-7.17771210013996</v>
      </c>
      <c r="N37">
        <v>57</v>
      </c>
      <c r="O37" t="s">
        <v>100</v>
      </c>
      <c r="P37" s="11" t="s">
        <v>100</v>
      </c>
      <c r="Q37" s="5" t="s">
        <v>100</v>
      </c>
      <c r="R37" t="s">
        <v>406</v>
      </c>
      <c r="S37" t="s">
        <v>620</v>
      </c>
      <c r="T37" t="s">
        <v>620</v>
      </c>
      <c r="U37" t="s">
        <v>260</v>
      </c>
      <c r="V37" s="4" t="s">
        <v>621</v>
      </c>
      <c r="W37">
        <v>9451</v>
      </c>
      <c r="X37" s="6" t="s">
        <v>262</v>
      </c>
      <c r="Y37" t="s">
        <v>622</v>
      </c>
    </row>
    <row r="38" spans="1:25" x14ac:dyDescent="0.2">
      <c r="A38">
        <v>96</v>
      </c>
      <c r="B38" t="s">
        <v>103</v>
      </c>
      <c r="C38">
        <v>886.45689783610896</v>
      </c>
      <c r="D38">
        <v>2.2899411742358802</v>
      </c>
      <c r="E38">
        <v>954.53138546445405</v>
      </c>
      <c r="F38">
        <v>364.03669907406697</v>
      </c>
      <c r="G38">
        <v>7.6793905935549498</v>
      </c>
      <c r="H38">
        <v>15797.207455363599</v>
      </c>
      <c r="I38" s="1">
        <v>6.4350563019243402E-6</v>
      </c>
      <c r="J38" s="1">
        <v>1.05637234716221E-5</v>
      </c>
      <c r="L38">
        <v>191</v>
      </c>
      <c r="M38">
        <f>G38*-1</f>
        <v>-7.6793905935549498</v>
      </c>
      <c r="N38">
        <v>50</v>
      </c>
      <c r="O38" t="s">
        <v>103</v>
      </c>
      <c r="P38" s="11" t="s">
        <v>103</v>
      </c>
      <c r="Q38" s="5" t="s">
        <v>103</v>
      </c>
      <c r="R38" t="s">
        <v>299</v>
      </c>
      <c r="S38" t="s">
        <v>653</v>
      </c>
      <c r="T38" t="s">
        <v>653</v>
      </c>
      <c r="U38" t="s">
        <v>260</v>
      </c>
      <c r="V38" s="4" t="s">
        <v>654</v>
      </c>
      <c r="W38">
        <v>5914</v>
      </c>
      <c r="X38" s="6" t="s">
        <v>262</v>
      </c>
      <c r="Y38" t="s">
        <v>655</v>
      </c>
    </row>
    <row r="39" spans="1:25" x14ac:dyDescent="0.2">
      <c r="A39">
        <v>74</v>
      </c>
      <c r="B39" t="s">
        <v>81</v>
      </c>
      <c r="C39">
        <v>664.59135649656901</v>
      </c>
      <c r="D39">
        <v>33.5438138312172</v>
      </c>
      <c r="E39">
        <v>658.12204549960302</v>
      </c>
      <c r="F39">
        <v>369.62507757817099</v>
      </c>
      <c r="G39">
        <v>-0.97342689364320101</v>
      </c>
      <c r="H39">
        <v>1001.91726986686</v>
      </c>
      <c r="I39" s="1">
        <v>5.8321434015648999E-7</v>
      </c>
      <c r="J39" s="1">
        <v>4.4645829524432999E-7</v>
      </c>
      <c r="L39">
        <v>126</v>
      </c>
      <c r="M39">
        <f>G39*-1</f>
        <v>0.97342689364320101</v>
      </c>
      <c r="N39">
        <v>115</v>
      </c>
      <c r="O39" t="s">
        <v>81</v>
      </c>
      <c r="P39" s="11" t="s">
        <v>297</v>
      </c>
      <c r="Q39" s="5" t="s">
        <v>297</v>
      </c>
      <c r="R39" t="s">
        <v>293</v>
      </c>
      <c r="S39" t="s">
        <v>293</v>
      </c>
      <c r="T39" t="s">
        <v>293</v>
      </c>
      <c r="U39" t="s">
        <v>260</v>
      </c>
      <c r="V39" s="4" t="s">
        <v>295</v>
      </c>
      <c r="W39">
        <v>5562</v>
      </c>
      <c r="X39" s="6" t="s">
        <v>262</v>
      </c>
      <c r="Y39" t="s">
        <v>296</v>
      </c>
    </row>
    <row r="40" spans="1:25" x14ac:dyDescent="0.2">
      <c r="A40">
        <v>92</v>
      </c>
      <c r="B40" t="s">
        <v>99</v>
      </c>
      <c r="C40">
        <v>811.84227391158402</v>
      </c>
      <c r="D40">
        <v>34.204993811609</v>
      </c>
      <c r="E40">
        <v>841.96930468103506</v>
      </c>
      <c r="F40">
        <v>372.42133982117502</v>
      </c>
      <c r="G40">
        <v>3.7109462930889299</v>
      </c>
      <c r="H40">
        <v>988.79230287940402</v>
      </c>
      <c r="I40" s="1">
        <v>2.0993051504024899E-6</v>
      </c>
      <c r="J40" s="1">
        <v>2.22132859325164E-6</v>
      </c>
      <c r="L40">
        <v>157</v>
      </c>
      <c r="M40">
        <f>G40*-1</f>
        <v>-3.7109462930889299</v>
      </c>
      <c r="N40">
        <v>84</v>
      </c>
      <c r="O40" t="s">
        <v>99</v>
      </c>
      <c r="P40" s="11" t="s">
        <v>704</v>
      </c>
      <c r="Q40" s="5" t="s">
        <v>704</v>
      </c>
      <c r="R40" t="s">
        <v>518</v>
      </c>
      <c r="S40" t="s">
        <v>705</v>
      </c>
      <c r="T40" t="s">
        <v>705</v>
      </c>
      <c r="U40" t="s">
        <v>260</v>
      </c>
      <c r="V40" s="4" t="s">
        <v>706</v>
      </c>
      <c r="W40">
        <v>80704</v>
      </c>
      <c r="X40" s="6" t="s">
        <v>262</v>
      </c>
      <c r="Y40" t="s">
        <v>707</v>
      </c>
    </row>
    <row r="41" spans="1:25" x14ac:dyDescent="0.2">
      <c r="A41">
        <v>72</v>
      </c>
      <c r="B41" t="s">
        <v>79</v>
      </c>
      <c r="C41">
        <v>588.41358823999701</v>
      </c>
      <c r="D41">
        <v>232.472018823946</v>
      </c>
      <c r="E41">
        <v>603.82721580393002</v>
      </c>
      <c r="F41">
        <v>373.26061823228298</v>
      </c>
      <c r="G41">
        <v>2.6195227085147401</v>
      </c>
      <c r="H41">
        <v>60.5615248323532</v>
      </c>
      <c r="I41" s="1">
        <v>3.1260039553667598E-7</v>
      </c>
      <c r="J41" s="1">
        <v>2.5275924082711702E-7</v>
      </c>
      <c r="L41">
        <v>146</v>
      </c>
      <c r="M41">
        <f>G41*-1</f>
        <v>-2.6195227085147401</v>
      </c>
      <c r="N41">
        <v>95</v>
      </c>
      <c r="O41" t="s">
        <v>79</v>
      </c>
      <c r="P41" s="11" t="s">
        <v>79</v>
      </c>
      <c r="Q41" s="5" t="s">
        <v>79</v>
      </c>
      <c r="R41" t="s">
        <v>361</v>
      </c>
      <c r="S41" t="s">
        <v>506</v>
      </c>
      <c r="T41" t="s">
        <v>506</v>
      </c>
      <c r="U41" t="s">
        <v>260</v>
      </c>
      <c r="V41" s="4" t="s">
        <v>384</v>
      </c>
      <c r="W41">
        <v>5422</v>
      </c>
      <c r="X41" s="6" t="s">
        <v>262</v>
      </c>
      <c r="Y41" t="s">
        <v>385</v>
      </c>
    </row>
    <row r="42" spans="1:25" x14ac:dyDescent="0.2">
      <c r="A42">
        <v>113</v>
      </c>
      <c r="B42" t="s">
        <v>120</v>
      </c>
      <c r="C42">
        <v>916.01136926055403</v>
      </c>
      <c r="D42">
        <v>0.96489515338722098</v>
      </c>
      <c r="E42">
        <v>995.63839360624695</v>
      </c>
      <c r="F42">
        <v>378.56486247676202</v>
      </c>
      <c r="G42">
        <v>8.6927986941877702</v>
      </c>
      <c r="H42">
        <v>39133.782152167201</v>
      </c>
      <c r="I42" t="s">
        <v>9</v>
      </c>
      <c r="J42" t="s">
        <v>9</v>
      </c>
      <c r="L42">
        <v>203</v>
      </c>
      <c r="M42">
        <f>G42*-1</f>
        <v>-8.6927986941877702</v>
      </c>
      <c r="N42">
        <v>38</v>
      </c>
      <c r="O42" t="s">
        <v>120</v>
      </c>
      <c r="P42" t="s">
        <v>120</v>
      </c>
      <c r="Q42" s="5" t="s">
        <v>569</v>
      </c>
      <c r="R42" t="s">
        <v>303</v>
      </c>
      <c r="S42" t="s">
        <v>570</v>
      </c>
      <c r="T42" t="s">
        <v>570</v>
      </c>
      <c r="U42" t="s">
        <v>260</v>
      </c>
      <c r="V42" s="4" t="s">
        <v>570</v>
      </c>
      <c r="W42">
        <v>27035</v>
      </c>
      <c r="X42" s="6" t="s">
        <v>262</v>
      </c>
      <c r="Y42" t="s">
        <v>571</v>
      </c>
    </row>
    <row r="43" spans="1:25" x14ac:dyDescent="0.2">
      <c r="A43">
        <v>6</v>
      </c>
      <c r="B43" t="s">
        <v>13</v>
      </c>
      <c r="C43">
        <v>915.05640776254904</v>
      </c>
      <c r="D43">
        <v>0.64096554915287196</v>
      </c>
      <c r="E43">
        <v>998.05039208075902</v>
      </c>
      <c r="F43">
        <v>382.48645476292899</v>
      </c>
      <c r="G43">
        <v>9.0698216649991004</v>
      </c>
      <c r="H43">
        <v>59573.480933326297</v>
      </c>
      <c r="I43" t="s">
        <v>9</v>
      </c>
      <c r="J43" t="s">
        <v>9</v>
      </c>
      <c r="L43">
        <v>207</v>
      </c>
      <c r="M43">
        <f>G43*-1</f>
        <v>-9.0698216649991004</v>
      </c>
      <c r="N43">
        <v>34</v>
      </c>
      <c r="O43" t="s">
        <v>13</v>
      </c>
      <c r="P43" s="11" t="s">
        <v>356</v>
      </c>
      <c r="Q43" s="5" t="s">
        <v>356</v>
      </c>
      <c r="R43" t="s">
        <v>258</v>
      </c>
      <c r="S43" t="s">
        <v>357</v>
      </c>
      <c r="T43" t="s">
        <v>357</v>
      </c>
      <c r="U43" t="s">
        <v>260</v>
      </c>
      <c r="V43" s="4" t="s">
        <v>358</v>
      </c>
      <c r="W43">
        <v>1374</v>
      </c>
      <c r="X43" s="6" t="s">
        <v>262</v>
      </c>
      <c r="Y43" t="s">
        <v>359</v>
      </c>
    </row>
    <row r="44" spans="1:25" x14ac:dyDescent="0.2">
      <c r="A44">
        <v>18</v>
      </c>
      <c r="B44" t="s">
        <v>25</v>
      </c>
      <c r="C44">
        <v>941.98467991647703</v>
      </c>
      <c r="D44">
        <v>0.87405333865756996</v>
      </c>
      <c r="E44">
        <v>1009.98279777167</v>
      </c>
      <c r="F44">
        <v>384.32575042227597</v>
      </c>
      <c r="G44">
        <v>7.2186012474446599</v>
      </c>
      <c r="H44">
        <v>43870.514546920997</v>
      </c>
      <c r="I44" t="s">
        <v>9</v>
      </c>
      <c r="J44" t="s">
        <v>9</v>
      </c>
      <c r="L44">
        <v>186</v>
      </c>
      <c r="M44">
        <f>G44*-1</f>
        <v>-7.2186012474446599</v>
      </c>
      <c r="N44">
        <v>55</v>
      </c>
      <c r="O44" t="s">
        <v>25</v>
      </c>
      <c r="P44" t="s">
        <v>209</v>
      </c>
      <c r="Q44" s="5" t="s">
        <v>464</v>
      </c>
      <c r="R44" t="s">
        <v>303</v>
      </c>
      <c r="S44" t="s">
        <v>461</v>
      </c>
      <c r="T44" t="s">
        <v>461</v>
      </c>
      <c r="U44" t="s">
        <v>260</v>
      </c>
      <c r="V44" s="4" t="s">
        <v>465</v>
      </c>
      <c r="W44">
        <v>2936</v>
      </c>
      <c r="X44" s="6" t="s">
        <v>262</v>
      </c>
      <c r="Y44" t="s">
        <v>466</v>
      </c>
    </row>
    <row r="45" spans="1:25" x14ac:dyDescent="0.2">
      <c r="A45">
        <v>15</v>
      </c>
      <c r="B45" t="s">
        <v>22</v>
      </c>
      <c r="C45">
        <v>961.10482899951501</v>
      </c>
      <c r="D45">
        <v>10.5980294312991</v>
      </c>
      <c r="E45">
        <v>1011.94966362611</v>
      </c>
      <c r="F45">
        <v>384.85743394448502</v>
      </c>
      <c r="G45">
        <v>5.2902485860489996</v>
      </c>
      <c r="H45">
        <v>3531.40559704324</v>
      </c>
      <c r="I45" t="s">
        <v>9</v>
      </c>
      <c r="J45" t="s">
        <v>9</v>
      </c>
      <c r="L45">
        <v>167</v>
      </c>
      <c r="M45">
        <f>G45*-1</f>
        <v>-5.2902485860489996</v>
      </c>
      <c r="N45">
        <v>74</v>
      </c>
      <c r="O45" t="s">
        <v>22</v>
      </c>
      <c r="P45" s="12" t="s">
        <v>22</v>
      </c>
      <c r="Q45" s="9" t="s">
        <v>22</v>
      </c>
      <c r="R45" s="8" t="s">
        <v>361</v>
      </c>
      <c r="S45" s="8" t="s">
        <v>391</v>
      </c>
      <c r="T45" s="8" t="s">
        <v>391</v>
      </c>
      <c r="U45" s="8" t="s">
        <v>364</v>
      </c>
      <c r="V45" s="10" t="s">
        <v>391</v>
      </c>
      <c r="W45" s="8">
        <v>1723</v>
      </c>
      <c r="X45" s="8" t="s">
        <v>262</v>
      </c>
      <c r="Y45" s="8" t="s">
        <v>392</v>
      </c>
    </row>
    <row r="46" spans="1:25" x14ac:dyDescent="0.2">
      <c r="A46">
        <v>5</v>
      </c>
      <c r="B46" t="s">
        <v>12</v>
      </c>
      <c r="C46">
        <v>805.69134793220201</v>
      </c>
      <c r="D46">
        <v>76.410903751347405</v>
      </c>
      <c r="E46">
        <v>889.35052801479799</v>
      </c>
      <c r="F46">
        <v>384.90007956929702</v>
      </c>
      <c r="G46">
        <v>10.3835271779084</v>
      </c>
      <c r="H46">
        <v>403.72402454736101</v>
      </c>
      <c r="I46" s="1">
        <v>2.5689950995763102E-6</v>
      </c>
      <c r="J46" s="1">
        <v>2.9407394815923501E-6</v>
      </c>
      <c r="L46">
        <v>218</v>
      </c>
      <c r="M46">
        <f>G46*-1</f>
        <v>-10.3835271779084</v>
      </c>
      <c r="N46">
        <v>23</v>
      </c>
      <c r="O46" t="s">
        <v>12</v>
      </c>
      <c r="P46" s="11" t="s">
        <v>12</v>
      </c>
      <c r="Q46" s="5" t="s">
        <v>12</v>
      </c>
      <c r="R46" t="s">
        <v>303</v>
      </c>
      <c r="S46" t="s">
        <v>438</v>
      </c>
      <c r="T46" t="s">
        <v>438</v>
      </c>
      <c r="U46" t="s">
        <v>260</v>
      </c>
      <c r="V46" s="4" t="s">
        <v>439</v>
      </c>
      <c r="W46">
        <v>2678</v>
      </c>
      <c r="X46" s="6" t="s">
        <v>262</v>
      </c>
      <c r="Y46" t="s">
        <v>440</v>
      </c>
    </row>
    <row r="47" spans="1:25" x14ac:dyDescent="0.2">
      <c r="A47">
        <v>9</v>
      </c>
      <c r="B47" t="s">
        <v>16</v>
      </c>
      <c r="C47">
        <v>921.40113128065605</v>
      </c>
      <c r="D47">
        <v>0.80601066399502197</v>
      </c>
      <c r="E47">
        <v>1018.6753525538199</v>
      </c>
      <c r="F47">
        <v>387.24419402174698</v>
      </c>
      <c r="G47">
        <v>10.5572066248673</v>
      </c>
      <c r="H47">
        <v>47944.549696446498</v>
      </c>
      <c r="I47" t="s">
        <v>9</v>
      </c>
      <c r="J47" t="s">
        <v>9</v>
      </c>
      <c r="L47">
        <v>219</v>
      </c>
      <c r="M47">
        <f>G47*-1</f>
        <v>-10.5572066248673</v>
      </c>
      <c r="N47">
        <v>22</v>
      </c>
      <c r="O47" t="s">
        <v>16</v>
      </c>
      <c r="P47" s="11" t="s">
        <v>16</v>
      </c>
      <c r="Q47" s="5" t="s">
        <v>16</v>
      </c>
      <c r="R47" t="s">
        <v>308</v>
      </c>
      <c r="S47" t="s">
        <v>619</v>
      </c>
      <c r="T47" t="s">
        <v>619</v>
      </c>
      <c r="U47" t="s">
        <v>260</v>
      </c>
      <c r="V47" s="4"/>
      <c r="X47" s="6" t="s">
        <v>262</v>
      </c>
    </row>
    <row r="48" spans="1:25" x14ac:dyDescent="0.2">
      <c r="A48">
        <v>46</v>
      </c>
      <c r="B48" t="s">
        <v>53</v>
      </c>
      <c r="C48">
        <v>1135.3893980103801</v>
      </c>
      <c r="D48">
        <v>4.1112009483135301</v>
      </c>
      <c r="E48">
        <v>418.548744731971</v>
      </c>
      <c r="F48">
        <v>388.45200858312597</v>
      </c>
      <c r="G48">
        <v>-63.136105950485302</v>
      </c>
      <c r="H48">
        <v>9348.6261670686308</v>
      </c>
      <c r="I48" t="s">
        <v>9</v>
      </c>
      <c r="J48" s="1">
        <v>1.29204262155116E-8</v>
      </c>
      <c r="L48">
        <v>1</v>
      </c>
      <c r="M48">
        <f>G48*-1</f>
        <v>63.136105950485302</v>
      </c>
      <c r="N48">
        <v>240</v>
      </c>
      <c r="O48" t="s">
        <v>53</v>
      </c>
      <c r="P48" s="11" t="s">
        <v>338</v>
      </c>
      <c r="Q48" s="5" t="s">
        <v>338</v>
      </c>
      <c r="R48" t="s">
        <v>308</v>
      </c>
      <c r="S48" t="s">
        <v>339</v>
      </c>
      <c r="T48" t="s">
        <v>339</v>
      </c>
      <c r="U48" t="s">
        <v>260</v>
      </c>
      <c r="V48" s="4" t="s">
        <v>340</v>
      </c>
      <c r="W48">
        <v>7384</v>
      </c>
      <c r="X48" s="6" t="s">
        <v>262</v>
      </c>
      <c r="Y48" t="s">
        <v>341</v>
      </c>
    </row>
    <row r="49" spans="1:25" x14ac:dyDescent="0.2">
      <c r="A49">
        <v>36</v>
      </c>
      <c r="B49" t="s">
        <v>43</v>
      </c>
      <c r="C49">
        <v>936.43918869024901</v>
      </c>
      <c r="D49">
        <v>2.2966083173353602</v>
      </c>
      <c r="E49">
        <v>965.680308704087</v>
      </c>
      <c r="F49">
        <v>389.58690468278002</v>
      </c>
      <c r="G49">
        <v>3.12258610777879</v>
      </c>
      <c r="H49">
        <v>16863.576320005599</v>
      </c>
      <c r="I49" t="s">
        <v>9</v>
      </c>
      <c r="J49" t="s">
        <v>9</v>
      </c>
      <c r="L49">
        <v>152</v>
      </c>
      <c r="M49">
        <f>G49*-1</f>
        <v>-3.12258610777879</v>
      </c>
      <c r="N49">
        <v>89</v>
      </c>
      <c r="O49" t="s">
        <v>43</v>
      </c>
      <c r="P49" s="11" t="s">
        <v>43</v>
      </c>
      <c r="Q49" s="5" t="s">
        <v>43</v>
      </c>
      <c r="R49" t="s">
        <v>303</v>
      </c>
      <c r="S49" t="s">
        <v>729</v>
      </c>
      <c r="T49" t="s">
        <v>729</v>
      </c>
      <c r="U49" t="s">
        <v>260</v>
      </c>
      <c r="V49" s="4"/>
      <c r="X49" s="6" t="s">
        <v>262</v>
      </c>
    </row>
    <row r="50" spans="1:25" x14ac:dyDescent="0.2">
      <c r="A50">
        <v>17</v>
      </c>
      <c r="B50" t="s">
        <v>24</v>
      </c>
      <c r="C50">
        <v>928.639440692113</v>
      </c>
      <c r="D50">
        <v>0.63618005862882399</v>
      </c>
      <c r="E50">
        <v>1012.90708827614</v>
      </c>
      <c r="F50">
        <v>391.02479885628401</v>
      </c>
      <c r="G50">
        <v>9.0743127947729292</v>
      </c>
      <c r="H50">
        <v>61364.485337542697</v>
      </c>
      <c r="I50" t="s">
        <v>9</v>
      </c>
      <c r="J50" t="s">
        <v>9</v>
      </c>
      <c r="L50">
        <v>208</v>
      </c>
      <c r="M50">
        <f>G50*-1</f>
        <v>-9.0743127947729292</v>
      </c>
      <c r="N50">
        <v>33</v>
      </c>
      <c r="O50" t="s">
        <v>24</v>
      </c>
      <c r="P50" s="11" t="s">
        <v>493</v>
      </c>
      <c r="Q50" s="5" t="s">
        <v>493</v>
      </c>
      <c r="R50" t="s">
        <v>494</v>
      </c>
      <c r="S50" t="s">
        <v>495</v>
      </c>
      <c r="T50" t="s">
        <v>495</v>
      </c>
      <c r="U50" t="s">
        <v>260</v>
      </c>
      <c r="V50" s="4" t="s">
        <v>496</v>
      </c>
      <c r="W50">
        <v>3417</v>
      </c>
      <c r="X50" s="6" t="s">
        <v>262</v>
      </c>
      <c r="Y50" t="s">
        <v>497</v>
      </c>
    </row>
    <row r="51" spans="1:25" x14ac:dyDescent="0.2">
      <c r="A51">
        <v>79</v>
      </c>
      <c r="B51" t="s">
        <v>86</v>
      </c>
      <c r="C51">
        <v>923.26243704780097</v>
      </c>
      <c r="D51">
        <v>0.61627450741086698</v>
      </c>
      <c r="E51">
        <v>884.82216829993502</v>
      </c>
      <c r="F51">
        <v>393.88308864389103</v>
      </c>
      <c r="G51">
        <v>-4.1635256894866304</v>
      </c>
      <c r="H51">
        <v>63813.578106402303</v>
      </c>
      <c r="I51" s="1">
        <v>9.0022723587482097E-6</v>
      </c>
      <c r="J51" s="1">
        <v>3.8183023978084502E-6</v>
      </c>
      <c r="L51">
        <v>123</v>
      </c>
      <c r="M51">
        <f>G51*-1</f>
        <v>4.1635256894866304</v>
      </c>
      <c r="N51">
        <v>118</v>
      </c>
      <c r="O51" t="s">
        <v>86</v>
      </c>
      <c r="P51" s="11" t="s">
        <v>657</v>
      </c>
      <c r="Q51" s="5" t="s">
        <v>657</v>
      </c>
      <c r="R51" t="s">
        <v>299</v>
      </c>
      <c r="S51" t="s">
        <v>658</v>
      </c>
      <c r="T51" t="s">
        <v>658</v>
      </c>
      <c r="U51" t="s">
        <v>260</v>
      </c>
      <c r="V51" s="4" t="s">
        <v>658</v>
      </c>
      <c r="W51">
        <v>1901</v>
      </c>
      <c r="X51" s="6" t="s">
        <v>262</v>
      </c>
      <c r="Y51" t="s">
        <v>659</v>
      </c>
    </row>
    <row r="52" spans="1:25" x14ac:dyDescent="0.2">
      <c r="A52">
        <v>21</v>
      </c>
      <c r="B52" t="s">
        <v>28</v>
      </c>
      <c r="C52">
        <v>920.282708023905</v>
      </c>
      <c r="D52">
        <v>0.752290627377313</v>
      </c>
      <c r="E52">
        <v>1011.640218836</v>
      </c>
      <c r="F52">
        <v>394.72045181879298</v>
      </c>
      <c r="G52">
        <v>9.9271137027301002</v>
      </c>
      <c r="H52">
        <v>52369.143899199502</v>
      </c>
      <c r="I52" t="s">
        <v>9</v>
      </c>
      <c r="J52" t="s">
        <v>9</v>
      </c>
      <c r="L52">
        <v>212</v>
      </c>
      <c r="M52">
        <f>G52*-1</f>
        <v>-9.9271137027301002</v>
      </c>
      <c r="N52">
        <v>29</v>
      </c>
      <c r="O52" t="s">
        <v>28</v>
      </c>
      <c r="P52" s="11" t="s">
        <v>500</v>
      </c>
      <c r="Q52" s="5" t="s">
        <v>500</v>
      </c>
      <c r="R52" t="s">
        <v>494</v>
      </c>
      <c r="S52" t="s">
        <v>501</v>
      </c>
      <c r="T52" t="s">
        <v>501</v>
      </c>
      <c r="U52" t="s">
        <v>260</v>
      </c>
      <c r="V52" s="4" t="s">
        <v>502</v>
      </c>
      <c r="W52">
        <v>3418</v>
      </c>
      <c r="X52" s="6" t="s">
        <v>262</v>
      </c>
      <c r="Y52" t="s">
        <v>503</v>
      </c>
    </row>
    <row r="53" spans="1:25" x14ac:dyDescent="0.2">
      <c r="A53">
        <v>4</v>
      </c>
      <c r="B53" t="s">
        <v>11</v>
      </c>
      <c r="C53">
        <v>922.95337006845705</v>
      </c>
      <c r="D53">
        <v>0.92003966712561103</v>
      </c>
      <c r="E53">
        <v>1030.3846982560201</v>
      </c>
      <c r="F53">
        <v>395.634837024511</v>
      </c>
      <c r="G53">
        <v>11.6399518839828</v>
      </c>
      <c r="H53">
        <v>42901.932542816699</v>
      </c>
      <c r="I53" t="s">
        <v>9</v>
      </c>
      <c r="J53" t="s">
        <v>9</v>
      </c>
      <c r="L53">
        <v>226</v>
      </c>
      <c r="M53">
        <f>G53*-1</f>
        <v>-11.6399518839828</v>
      </c>
      <c r="N53">
        <v>15</v>
      </c>
      <c r="O53" t="s">
        <v>11</v>
      </c>
      <c r="P53" s="11" t="s">
        <v>334</v>
      </c>
      <c r="Q53" s="5" t="s">
        <v>334</v>
      </c>
      <c r="R53" t="s">
        <v>308</v>
      </c>
      <c r="S53" t="s">
        <v>335</v>
      </c>
      <c r="T53" t="s">
        <v>335</v>
      </c>
      <c r="U53" t="s">
        <v>260</v>
      </c>
      <c r="V53" s="4" t="s">
        <v>336</v>
      </c>
      <c r="W53">
        <v>6389</v>
      </c>
      <c r="X53" s="6" t="s">
        <v>262</v>
      </c>
      <c r="Y53" t="s">
        <v>337</v>
      </c>
    </row>
    <row r="54" spans="1:25" x14ac:dyDescent="0.2">
      <c r="A54">
        <v>8</v>
      </c>
      <c r="B54" t="s">
        <v>15</v>
      </c>
      <c r="C54">
        <v>912.48733628235505</v>
      </c>
      <c r="D54">
        <v>0.83846489894383003</v>
      </c>
      <c r="E54">
        <v>1010.56660075191</v>
      </c>
      <c r="F54">
        <v>396.08076197398401</v>
      </c>
      <c r="G54">
        <v>10.748561713650201</v>
      </c>
      <c r="H54">
        <v>47138.8006311184</v>
      </c>
      <c r="I54" t="s">
        <v>9</v>
      </c>
      <c r="J54" t="s">
        <v>9</v>
      </c>
      <c r="L54">
        <v>222</v>
      </c>
      <c r="M54">
        <f>G54*-1</f>
        <v>-10.748561713650201</v>
      </c>
      <c r="N54">
        <v>19</v>
      </c>
      <c r="O54" t="s">
        <v>15</v>
      </c>
      <c r="P54" t="s">
        <v>15</v>
      </c>
      <c r="Q54" s="5" t="s">
        <v>575</v>
      </c>
      <c r="R54" t="s">
        <v>303</v>
      </c>
      <c r="S54" t="s">
        <v>576</v>
      </c>
      <c r="T54" t="s">
        <v>576</v>
      </c>
      <c r="U54" t="s">
        <v>260</v>
      </c>
      <c r="V54" s="4" t="s">
        <v>576</v>
      </c>
      <c r="W54">
        <v>1728</v>
      </c>
      <c r="X54" s="6" t="s">
        <v>262</v>
      </c>
      <c r="Y54" t="s">
        <v>577</v>
      </c>
    </row>
    <row r="55" spans="1:25" x14ac:dyDescent="0.2">
      <c r="A55">
        <v>98</v>
      </c>
      <c r="B55" t="s">
        <v>105</v>
      </c>
      <c r="C55">
        <v>915.68489226811698</v>
      </c>
      <c r="D55">
        <v>1.00298247259397</v>
      </c>
      <c r="E55">
        <v>994.79576044472105</v>
      </c>
      <c r="F55">
        <v>397.64982622329399</v>
      </c>
      <c r="G55">
        <v>8.6395296946145397</v>
      </c>
      <c r="H55">
        <v>39546.7373148474</v>
      </c>
      <c r="I55" t="s">
        <v>9</v>
      </c>
      <c r="J55" t="s">
        <v>9</v>
      </c>
      <c r="L55">
        <v>201</v>
      </c>
      <c r="M55">
        <f>G55*-1</f>
        <v>-8.6395296946145397</v>
      </c>
      <c r="N55">
        <v>40</v>
      </c>
      <c r="O55" t="s">
        <v>105</v>
      </c>
      <c r="P55" s="11" t="s">
        <v>105</v>
      </c>
      <c r="Q55" s="5" t="s">
        <v>105</v>
      </c>
      <c r="R55" t="s">
        <v>361</v>
      </c>
      <c r="S55" t="s">
        <v>656</v>
      </c>
      <c r="T55" t="s">
        <v>656</v>
      </c>
      <c r="U55" t="s">
        <v>260</v>
      </c>
      <c r="V55" s="4" t="s">
        <v>648</v>
      </c>
      <c r="W55">
        <v>6240</v>
      </c>
      <c r="X55" s="6" t="s">
        <v>262</v>
      </c>
      <c r="Y55" t="s">
        <v>649</v>
      </c>
    </row>
    <row r="56" spans="1:25" x14ac:dyDescent="0.2">
      <c r="A56">
        <v>12</v>
      </c>
      <c r="B56" t="s">
        <v>19</v>
      </c>
      <c r="C56">
        <v>921.59396715929802</v>
      </c>
      <c r="D56">
        <v>0.88262103686355498</v>
      </c>
      <c r="E56">
        <v>1014.71063802486</v>
      </c>
      <c r="F56">
        <v>400.11858623856</v>
      </c>
      <c r="G56">
        <v>10.1038715729208</v>
      </c>
      <c r="H56">
        <v>45232.999047972502</v>
      </c>
      <c r="I56" t="s">
        <v>9</v>
      </c>
      <c r="J56" t="s">
        <v>9</v>
      </c>
      <c r="L56">
        <v>215</v>
      </c>
      <c r="M56">
        <f>G56*-1</f>
        <v>-10.1038715729208</v>
      </c>
      <c r="N56">
        <v>26</v>
      </c>
      <c r="O56" t="s">
        <v>19</v>
      </c>
      <c r="P56" s="11" t="s">
        <v>19</v>
      </c>
      <c r="Q56" s="5" t="s">
        <v>19</v>
      </c>
      <c r="R56" t="s">
        <v>414</v>
      </c>
      <c r="S56" t="s">
        <v>623</v>
      </c>
      <c r="T56" t="s">
        <v>623</v>
      </c>
      <c r="U56" t="s">
        <v>260</v>
      </c>
      <c r="V56" s="4" t="s">
        <v>623</v>
      </c>
      <c r="W56">
        <v>5209</v>
      </c>
      <c r="X56" s="6" t="s">
        <v>262</v>
      </c>
      <c r="Y56" t="s">
        <v>624</v>
      </c>
    </row>
    <row r="57" spans="1:25" x14ac:dyDescent="0.2">
      <c r="A57">
        <v>101</v>
      </c>
      <c r="B57" t="s">
        <v>108</v>
      </c>
      <c r="C57">
        <v>917.67320946527195</v>
      </c>
      <c r="D57">
        <v>0.84353137575471904</v>
      </c>
      <c r="E57">
        <v>996.456442603607</v>
      </c>
      <c r="F57">
        <v>401.611608552853</v>
      </c>
      <c r="G57">
        <v>8.5851076751212592</v>
      </c>
      <c r="H57">
        <v>47510.749297087503</v>
      </c>
      <c r="I57" t="s">
        <v>9</v>
      </c>
      <c r="J57" t="s">
        <v>9</v>
      </c>
      <c r="L57">
        <v>198</v>
      </c>
      <c r="M57">
        <f>G57*-1</f>
        <v>-8.5851076751212592</v>
      </c>
      <c r="N57">
        <v>43</v>
      </c>
      <c r="O57" t="s">
        <v>108</v>
      </c>
      <c r="P57" s="11" t="s">
        <v>449</v>
      </c>
      <c r="Q57" s="5" t="s">
        <v>449</v>
      </c>
      <c r="R57" t="s">
        <v>445</v>
      </c>
      <c r="S57" t="s">
        <v>446</v>
      </c>
      <c r="T57" t="s">
        <v>446</v>
      </c>
      <c r="U57" t="s">
        <v>260</v>
      </c>
      <c r="V57" s="4" t="s">
        <v>450</v>
      </c>
      <c r="W57">
        <v>7357</v>
      </c>
      <c r="X57" s="6" t="s">
        <v>262</v>
      </c>
      <c r="Y57" t="s">
        <v>451</v>
      </c>
    </row>
    <row r="58" spans="1:25" x14ac:dyDescent="0.2">
      <c r="A58">
        <v>25</v>
      </c>
      <c r="B58" t="s">
        <v>32</v>
      </c>
      <c r="C58">
        <v>914.18046154857097</v>
      </c>
      <c r="D58">
        <v>0.886331195389922</v>
      </c>
      <c r="E58">
        <v>995.891934746174</v>
      </c>
      <c r="F58">
        <v>402.60766887709099</v>
      </c>
      <c r="G58">
        <v>8.9382213506497799</v>
      </c>
      <c r="H58">
        <v>45324.0661923191</v>
      </c>
      <c r="I58" t="s">
        <v>9</v>
      </c>
      <c r="J58" t="s">
        <v>9</v>
      </c>
      <c r="L58">
        <v>205</v>
      </c>
      <c r="M58">
        <f>G58*-1</f>
        <v>-8.9382213506497799</v>
      </c>
      <c r="N58">
        <v>36</v>
      </c>
      <c r="O58" t="s">
        <v>32</v>
      </c>
      <c r="P58" s="11" t="s">
        <v>32</v>
      </c>
      <c r="Q58" s="5" t="s">
        <v>32</v>
      </c>
      <c r="R58" t="s">
        <v>293</v>
      </c>
      <c r="S58" t="s">
        <v>294</v>
      </c>
      <c r="T58" t="s">
        <v>294</v>
      </c>
      <c r="U58" t="s">
        <v>260</v>
      </c>
      <c r="V58" s="4" t="s">
        <v>295</v>
      </c>
      <c r="W58">
        <v>5562</v>
      </c>
      <c r="X58" s="6" t="s">
        <v>262</v>
      </c>
      <c r="Y58" t="s">
        <v>296</v>
      </c>
    </row>
    <row r="59" spans="1:25" x14ac:dyDescent="0.2">
      <c r="A59">
        <v>24</v>
      </c>
      <c r="B59" t="s">
        <v>31</v>
      </c>
      <c r="C59">
        <v>928.247935882403</v>
      </c>
      <c r="D59">
        <v>1.1136075041000799</v>
      </c>
      <c r="E59">
        <v>991.49062600045499</v>
      </c>
      <c r="F59">
        <v>402.74240588224501</v>
      </c>
      <c r="G59">
        <v>6.8131247776956601</v>
      </c>
      <c r="H59">
        <v>36065.561420826401</v>
      </c>
      <c r="I59" t="s">
        <v>9</v>
      </c>
      <c r="J59" t="s">
        <v>9</v>
      </c>
      <c r="L59">
        <v>179</v>
      </c>
      <c r="M59">
        <f>G59*-1</f>
        <v>-6.8131247776956601</v>
      </c>
      <c r="N59">
        <v>62</v>
      </c>
      <c r="O59" t="s">
        <v>31</v>
      </c>
      <c r="P59" s="11" t="s">
        <v>425</v>
      </c>
      <c r="Q59" s="5" t="s">
        <v>425</v>
      </c>
      <c r="R59" t="s">
        <v>414</v>
      </c>
      <c r="S59" t="s">
        <v>426</v>
      </c>
      <c r="T59" t="s">
        <v>426</v>
      </c>
      <c r="U59" t="s">
        <v>260</v>
      </c>
      <c r="V59" s="4" t="s">
        <v>426</v>
      </c>
      <c r="W59">
        <v>2539</v>
      </c>
      <c r="X59" s="6" t="s">
        <v>262</v>
      </c>
      <c r="Y59" t="s">
        <v>427</v>
      </c>
    </row>
    <row r="60" spans="1:25" x14ac:dyDescent="0.2">
      <c r="A60">
        <v>10</v>
      </c>
      <c r="B60" s="5" t="s">
        <v>17</v>
      </c>
      <c r="C60">
        <v>931.31827390451394</v>
      </c>
      <c r="D60">
        <v>0.78179329404832298</v>
      </c>
      <c r="E60">
        <v>1010.24234474324</v>
      </c>
      <c r="F60">
        <v>403.57887030471102</v>
      </c>
      <c r="G60">
        <v>8.4744467117395494</v>
      </c>
      <c r="H60">
        <v>51522.196477905003</v>
      </c>
      <c r="I60" t="s">
        <v>9</v>
      </c>
      <c r="J60" t="s">
        <v>9</v>
      </c>
      <c r="L60">
        <v>196</v>
      </c>
      <c r="M60">
        <f>G60*-1</f>
        <v>-8.4744467117395494</v>
      </c>
      <c r="N60">
        <v>45</v>
      </c>
      <c r="O60" s="5" t="s">
        <v>17</v>
      </c>
      <c r="P60" s="11" t="s">
        <v>444</v>
      </c>
      <c r="Q60" s="5" t="s">
        <v>444</v>
      </c>
      <c r="R60" t="s">
        <v>445</v>
      </c>
      <c r="S60" t="s">
        <v>446</v>
      </c>
      <c r="T60" t="s">
        <v>446</v>
      </c>
      <c r="U60" t="s">
        <v>260</v>
      </c>
      <c r="V60" s="4" t="s">
        <v>447</v>
      </c>
      <c r="W60">
        <v>8972</v>
      </c>
      <c r="X60" s="6" t="s">
        <v>262</v>
      </c>
      <c r="Y60" t="s">
        <v>448</v>
      </c>
    </row>
    <row r="61" spans="1:25" x14ac:dyDescent="0.2">
      <c r="A61">
        <v>108</v>
      </c>
      <c r="B61" t="s">
        <v>115</v>
      </c>
      <c r="C61">
        <v>922.72213183941403</v>
      </c>
      <c r="D61">
        <v>0.75596950981641298</v>
      </c>
      <c r="E61">
        <v>986.71542578398896</v>
      </c>
      <c r="F61">
        <v>403.64318747904002</v>
      </c>
      <c r="G61">
        <v>6.9352724657211802</v>
      </c>
      <c r="H61">
        <v>53294.1094498725</v>
      </c>
      <c r="I61" t="s">
        <v>9</v>
      </c>
      <c r="J61" t="s">
        <v>9</v>
      </c>
      <c r="L61">
        <v>181</v>
      </c>
      <c r="M61">
        <f>G61*-1</f>
        <v>-6.9352724657211802</v>
      </c>
      <c r="N61">
        <v>60</v>
      </c>
      <c r="O61" t="s">
        <v>115</v>
      </c>
      <c r="P61" s="11" t="s">
        <v>115</v>
      </c>
      <c r="Q61" s="5" t="s">
        <v>115</v>
      </c>
      <c r="R61" t="s">
        <v>308</v>
      </c>
      <c r="S61" t="s">
        <v>644</v>
      </c>
      <c r="T61" t="s">
        <v>644</v>
      </c>
      <c r="U61" t="s">
        <v>260</v>
      </c>
      <c r="V61" s="4"/>
      <c r="X61" s="6" t="s">
        <v>262</v>
      </c>
    </row>
    <row r="62" spans="1:25" x14ac:dyDescent="0.2">
      <c r="A62">
        <v>19</v>
      </c>
      <c r="B62" t="s">
        <v>26</v>
      </c>
      <c r="C62">
        <v>940.671895162081</v>
      </c>
      <c r="D62">
        <v>0.65683637772266101</v>
      </c>
      <c r="E62">
        <v>993.83163736301799</v>
      </c>
      <c r="F62">
        <v>403.658544447098</v>
      </c>
      <c r="G62">
        <v>5.6512523095821399</v>
      </c>
      <c r="H62">
        <v>61354.9617130884</v>
      </c>
      <c r="I62" t="s">
        <v>9</v>
      </c>
      <c r="J62" t="s">
        <v>9</v>
      </c>
      <c r="L62">
        <v>172</v>
      </c>
      <c r="M62">
        <f>G62*-1</f>
        <v>-5.6512523095821399</v>
      </c>
      <c r="N62">
        <v>69</v>
      </c>
      <c r="O62" t="s">
        <v>26</v>
      </c>
      <c r="P62" s="11" t="s">
        <v>26</v>
      </c>
      <c r="Q62" s="5" t="s">
        <v>26</v>
      </c>
      <c r="R62" t="s">
        <v>258</v>
      </c>
      <c r="S62" t="s">
        <v>386</v>
      </c>
      <c r="T62" t="s">
        <v>386</v>
      </c>
      <c r="U62" t="s">
        <v>260</v>
      </c>
      <c r="V62" s="4" t="s">
        <v>386</v>
      </c>
      <c r="W62">
        <v>8694</v>
      </c>
      <c r="X62" s="6" t="s">
        <v>262</v>
      </c>
      <c r="Y62" t="s">
        <v>387</v>
      </c>
    </row>
    <row r="63" spans="1:25" x14ac:dyDescent="0.2">
      <c r="A63">
        <v>102</v>
      </c>
      <c r="B63" t="s">
        <v>109</v>
      </c>
      <c r="C63">
        <v>918.74006011411495</v>
      </c>
      <c r="D63">
        <v>0.51328251161538396</v>
      </c>
      <c r="E63">
        <v>985.12725943298005</v>
      </c>
      <c r="F63">
        <v>406.20513732598198</v>
      </c>
      <c r="G63">
        <v>7.2258957893507603</v>
      </c>
      <c r="H63">
        <v>79038.705904393399</v>
      </c>
      <c r="I63" t="s">
        <v>9</v>
      </c>
      <c r="J63" t="s">
        <v>9</v>
      </c>
      <c r="L63">
        <v>187</v>
      </c>
      <c r="M63">
        <f>G63*-1</f>
        <v>-7.2258957893507603</v>
      </c>
      <c r="N63">
        <v>54</v>
      </c>
      <c r="O63" t="s">
        <v>109</v>
      </c>
      <c r="P63" s="11" t="s">
        <v>109</v>
      </c>
      <c r="Q63" s="5" t="s">
        <v>109</v>
      </c>
      <c r="R63" t="s">
        <v>299</v>
      </c>
      <c r="S63" t="s">
        <v>653</v>
      </c>
      <c r="T63" t="s">
        <v>653</v>
      </c>
      <c r="U63" t="s">
        <v>260</v>
      </c>
      <c r="V63" s="4" t="s">
        <v>654</v>
      </c>
      <c r="W63">
        <v>5914</v>
      </c>
      <c r="X63" s="6" t="s">
        <v>262</v>
      </c>
      <c r="Y63" t="s">
        <v>655</v>
      </c>
    </row>
    <row r="64" spans="1:25" x14ac:dyDescent="0.2">
      <c r="A64">
        <v>109</v>
      </c>
      <c r="B64" t="s">
        <v>116</v>
      </c>
      <c r="C64">
        <v>920.42297570871096</v>
      </c>
      <c r="D64">
        <v>1.00349283430562</v>
      </c>
      <c r="E64">
        <v>981.76736834211397</v>
      </c>
      <c r="F64">
        <v>407.78109339506</v>
      </c>
      <c r="G64">
        <v>6.664804579239</v>
      </c>
      <c r="H64">
        <v>40536.173917198699</v>
      </c>
      <c r="I64" t="s">
        <v>9</v>
      </c>
      <c r="J64" t="s">
        <v>9</v>
      </c>
      <c r="L64">
        <v>176</v>
      </c>
      <c r="M64">
        <f>G64*-1</f>
        <v>-6.664804579239</v>
      </c>
      <c r="N64">
        <v>65</v>
      </c>
      <c r="O64" t="s">
        <v>116</v>
      </c>
      <c r="P64" s="11" t="s">
        <v>116</v>
      </c>
      <c r="Q64" s="5" t="s">
        <v>116</v>
      </c>
      <c r="R64" t="s">
        <v>361</v>
      </c>
      <c r="S64" t="s">
        <v>511</v>
      </c>
      <c r="T64" t="s">
        <v>507</v>
      </c>
      <c r="U64" t="s">
        <v>260</v>
      </c>
      <c r="V64" s="4" t="s">
        <v>508</v>
      </c>
      <c r="W64">
        <v>3614</v>
      </c>
      <c r="X64" s="6" t="s">
        <v>262</v>
      </c>
      <c r="Y64" t="s">
        <v>509</v>
      </c>
    </row>
    <row r="65" spans="1:25" x14ac:dyDescent="0.2">
      <c r="A65">
        <v>16</v>
      </c>
      <c r="B65" t="s">
        <v>23</v>
      </c>
      <c r="C65">
        <v>929.86416147163504</v>
      </c>
      <c r="D65">
        <v>1.60069724196536</v>
      </c>
      <c r="E65">
        <v>1016.393483254</v>
      </c>
      <c r="F65">
        <v>407.79824044644403</v>
      </c>
      <c r="G65">
        <v>9.3055873500293504</v>
      </c>
      <c r="H65">
        <v>25376.2880671764</v>
      </c>
      <c r="I65" t="s">
        <v>9</v>
      </c>
      <c r="J65" t="s">
        <v>9</v>
      </c>
      <c r="L65">
        <v>209</v>
      </c>
      <c r="M65">
        <f>G65*-1</f>
        <v>-9.3055873500293504</v>
      </c>
      <c r="N65">
        <v>32</v>
      </c>
      <c r="O65" t="s">
        <v>23</v>
      </c>
      <c r="P65" s="11" t="s">
        <v>23</v>
      </c>
      <c r="Q65" s="5" t="s">
        <v>23</v>
      </c>
      <c r="R65" t="s">
        <v>258</v>
      </c>
      <c r="S65" t="s">
        <v>522</v>
      </c>
      <c r="T65" t="s">
        <v>522</v>
      </c>
      <c r="U65" t="s">
        <v>260</v>
      </c>
      <c r="V65" s="4" t="s">
        <v>523</v>
      </c>
      <c r="W65">
        <v>2081</v>
      </c>
      <c r="X65" s="6" t="s">
        <v>262</v>
      </c>
      <c r="Y65" t="s">
        <v>524</v>
      </c>
    </row>
    <row r="66" spans="1:25" x14ac:dyDescent="0.2">
      <c r="A66">
        <v>105</v>
      </c>
      <c r="B66" t="s">
        <v>112</v>
      </c>
      <c r="C66">
        <v>928.95248383453895</v>
      </c>
      <c r="D66">
        <v>0.97677258646743803</v>
      </c>
      <c r="E66">
        <v>990.05022460857504</v>
      </c>
      <c r="F66">
        <v>408.29212411084399</v>
      </c>
      <c r="G66">
        <v>6.5770576899516202</v>
      </c>
      <c r="H66">
        <v>41700.121109813197</v>
      </c>
      <c r="I66" t="s">
        <v>9</v>
      </c>
      <c r="J66" t="s">
        <v>9</v>
      </c>
      <c r="L66">
        <v>174</v>
      </c>
      <c r="M66">
        <f>G66*-1</f>
        <v>-6.5770576899516202</v>
      </c>
      <c r="N66">
        <v>67</v>
      </c>
      <c r="O66" t="s">
        <v>112</v>
      </c>
      <c r="P66" s="11" t="s">
        <v>367</v>
      </c>
      <c r="Q66" s="5" t="s">
        <v>367</v>
      </c>
      <c r="R66" t="s">
        <v>368</v>
      </c>
      <c r="S66" t="s">
        <v>349</v>
      </c>
      <c r="T66" t="s">
        <v>349</v>
      </c>
      <c r="U66" t="s">
        <v>260</v>
      </c>
      <c r="V66" s="4" t="s">
        <v>349</v>
      </c>
      <c r="W66">
        <v>1584</v>
      </c>
      <c r="X66" s="6" t="s">
        <v>262</v>
      </c>
      <c r="Y66" t="s">
        <v>369</v>
      </c>
    </row>
    <row r="67" spans="1:25" x14ac:dyDescent="0.2">
      <c r="A67">
        <v>27</v>
      </c>
      <c r="B67" t="s">
        <v>34</v>
      </c>
      <c r="C67">
        <v>932.83754437217101</v>
      </c>
      <c r="D67">
        <v>1.47124059058101</v>
      </c>
      <c r="E67">
        <v>999.65678921034396</v>
      </c>
      <c r="F67">
        <v>408.79015459582399</v>
      </c>
      <c r="G67">
        <v>7.1630098125118096</v>
      </c>
      <c r="H67">
        <v>27685.4048625988</v>
      </c>
      <c r="I67" t="s">
        <v>9</v>
      </c>
      <c r="J67" t="s">
        <v>9</v>
      </c>
      <c r="L67">
        <v>183</v>
      </c>
      <c r="M67">
        <f>G67*-1</f>
        <v>-7.1630098125118096</v>
      </c>
      <c r="N67">
        <v>58</v>
      </c>
      <c r="O67" t="s">
        <v>34</v>
      </c>
      <c r="P67" s="11" t="s">
        <v>34</v>
      </c>
      <c r="Q67" s="5" t="s">
        <v>34</v>
      </c>
      <c r="R67" t="s">
        <v>258</v>
      </c>
      <c r="S67" t="s">
        <v>264</v>
      </c>
      <c r="T67" t="s">
        <v>264</v>
      </c>
      <c r="U67" t="s">
        <v>260</v>
      </c>
      <c r="V67" s="4" t="s">
        <v>265</v>
      </c>
      <c r="W67">
        <v>6646</v>
      </c>
      <c r="X67" s="6" t="s">
        <v>262</v>
      </c>
      <c r="Y67" t="s">
        <v>266</v>
      </c>
    </row>
    <row r="68" spans="1:25" x14ac:dyDescent="0.2">
      <c r="A68">
        <v>99</v>
      </c>
      <c r="B68" t="s">
        <v>106</v>
      </c>
      <c r="C68">
        <v>918.736284344772</v>
      </c>
      <c r="D68">
        <v>0.706819729849266</v>
      </c>
      <c r="E68">
        <v>997.78791098400802</v>
      </c>
      <c r="F68">
        <v>409.066569852013</v>
      </c>
      <c r="G68">
        <v>8.6043871333126205</v>
      </c>
      <c r="H68">
        <v>57774.243258496703</v>
      </c>
      <c r="I68" t="s">
        <v>9</v>
      </c>
      <c r="J68" t="s">
        <v>9</v>
      </c>
      <c r="L68">
        <v>200</v>
      </c>
      <c r="M68">
        <f>G68*-1</f>
        <v>-8.6043871333126205</v>
      </c>
      <c r="N68">
        <v>41</v>
      </c>
      <c r="O68" t="s">
        <v>106</v>
      </c>
      <c r="P68" s="11" t="s">
        <v>329</v>
      </c>
      <c r="Q68" s="5" t="s">
        <v>329</v>
      </c>
      <c r="R68" t="s">
        <v>308</v>
      </c>
      <c r="S68" t="s">
        <v>330</v>
      </c>
      <c r="T68" t="s">
        <v>330</v>
      </c>
      <c r="U68" t="s">
        <v>260</v>
      </c>
      <c r="V68" s="4" t="s">
        <v>331</v>
      </c>
      <c r="W68">
        <v>4719</v>
      </c>
      <c r="X68" s="6" t="s">
        <v>262</v>
      </c>
      <c r="Y68" t="s">
        <v>332</v>
      </c>
    </row>
    <row r="69" spans="1:25" x14ac:dyDescent="0.2">
      <c r="A69">
        <v>84</v>
      </c>
      <c r="B69" t="s">
        <v>91</v>
      </c>
      <c r="C69">
        <v>907.92908246283798</v>
      </c>
      <c r="D69">
        <v>0.90949073956409998</v>
      </c>
      <c r="E69">
        <v>956.10986531629703</v>
      </c>
      <c r="F69">
        <v>409.73474233625097</v>
      </c>
      <c r="G69">
        <v>5.3066680849966996</v>
      </c>
      <c r="H69">
        <v>44951.007614726099</v>
      </c>
      <c r="I69" s="1">
        <v>7.2200464381127702E-6</v>
      </c>
      <c r="J69" s="1">
        <v>7.6421913132984101E-6</v>
      </c>
      <c r="L69">
        <v>168</v>
      </c>
      <c r="M69">
        <f>G69*-1</f>
        <v>-5.3066680849966996</v>
      </c>
      <c r="N69">
        <v>73</v>
      </c>
      <c r="O69" t="s">
        <v>91</v>
      </c>
      <c r="P69" s="11" t="s">
        <v>91</v>
      </c>
      <c r="Q69" s="5" t="s">
        <v>91</v>
      </c>
      <c r="R69" t="s">
        <v>308</v>
      </c>
      <c r="S69" t="s">
        <v>724</v>
      </c>
      <c r="T69" t="s">
        <v>724</v>
      </c>
      <c r="U69" t="s">
        <v>260</v>
      </c>
      <c r="V69" s="4" t="s">
        <v>725</v>
      </c>
      <c r="W69">
        <v>7350</v>
      </c>
      <c r="X69" s="6" t="s">
        <v>262</v>
      </c>
      <c r="Y69" t="s">
        <v>726</v>
      </c>
    </row>
    <row r="70" spans="1:25" x14ac:dyDescent="0.2">
      <c r="A70">
        <v>119</v>
      </c>
      <c r="B70" t="s">
        <v>126</v>
      </c>
      <c r="C70">
        <v>909.42222289010999</v>
      </c>
      <c r="D70">
        <v>0.92279535263120405</v>
      </c>
      <c r="E70">
        <v>983.76978719656802</v>
      </c>
      <c r="F70">
        <v>409.989813651357</v>
      </c>
      <c r="G70">
        <v>8.1752526422967993</v>
      </c>
      <c r="H70">
        <v>44329.115565259002</v>
      </c>
      <c r="I70" t="s">
        <v>9</v>
      </c>
      <c r="J70" t="s">
        <v>9</v>
      </c>
      <c r="L70">
        <v>194</v>
      </c>
      <c r="M70">
        <f>G70*-1</f>
        <v>-8.1752526422967993</v>
      </c>
      <c r="N70">
        <v>47</v>
      </c>
      <c r="O70" t="s">
        <v>126</v>
      </c>
      <c r="P70" s="11" t="s">
        <v>126</v>
      </c>
      <c r="Q70" s="5" t="s">
        <v>126</v>
      </c>
      <c r="R70" t="s">
        <v>445</v>
      </c>
      <c r="S70" t="s">
        <v>446</v>
      </c>
      <c r="T70" t="s">
        <v>446</v>
      </c>
      <c r="U70" t="s">
        <v>260</v>
      </c>
      <c r="V70" s="4" t="s">
        <v>447</v>
      </c>
      <c r="W70">
        <v>8972</v>
      </c>
      <c r="X70" s="6" t="s">
        <v>262</v>
      </c>
      <c r="Y70" t="s">
        <v>448</v>
      </c>
    </row>
    <row r="71" spans="1:25" x14ac:dyDescent="0.2">
      <c r="A71">
        <v>13</v>
      </c>
      <c r="B71" t="s">
        <v>20</v>
      </c>
      <c r="C71">
        <v>922.56715956500705</v>
      </c>
      <c r="D71">
        <v>0.604719692192631</v>
      </c>
      <c r="E71">
        <v>1019.97105955468</v>
      </c>
      <c r="F71">
        <v>411.12992809223499</v>
      </c>
      <c r="G71">
        <v>10.557919711297201</v>
      </c>
      <c r="H71">
        <v>67886.859597962495</v>
      </c>
      <c r="I71" t="s">
        <v>9</v>
      </c>
      <c r="J71" t="s">
        <v>9</v>
      </c>
      <c r="L71">
        <v>220</v>
      </c>
      <c r="M71">
        <f>G71*-1</f>
        <v>-10.557919711297201</v>
      </c>
      <c r="N71">
        <v>21</v>
      </c>
      <c r="O71" t="s">
        <v>20</v>
      </c>
      <c r="P71" s="11" t="s">
        <v>20</v>
      </c>
      <c r="Q71" s="5" t="s">
        <v>20</v>
      </c>
      <c r="R71" t="s">
        <v>303</v>
      </c>
      <c r="S71" t="s">
        <v>572</v>
      </c>
      <c r="T71" t="s">
        <v>572</v>
      </c>
      <c r="U71" t="s">
        <v>260</v>
      </c>
      <c r="V71" s="4" t="s">
        <v>573</v>
      </c>
      <c r="W71">
        <v>1536</v>
      </c>
      <c r="X71" s="6" t="s">
        <v>262</v>
      </c>
      <c r="Y71" t="s">
        <v>574</v>
      </c>
    </row>
    <row r="72" spans="1:25" x14ac:dyDescent="0.2">
      <c r="A72">
        <v>106</v>
      </c>
      <c r="B72" t="s">
        <v>113</v>
      </c>
      <c r="C72">
        <v>910.330006616015</v>
      </c>
      <c r="D72">
        <v>0.94928575871555099</v>
      </c>
      <c r="E72">
        <v>989.08072201073503</v>
      </c>
      <c r="F72">
        <v>412.44575899890401</v>
      </c>
      <c r="G72">
        <v>8.6507876069538998</v>
      </c>
      <c r="H72">
        <v>43348.008696240402</v>
      </c>
      <c r="I72" t="s">
        <v>9</v>
      </c>
      <c r="J72" t="s">
        <v>9</v>
      </c>
      <c r="L72">
        <v>202</v>
      </c>
      <c r="M72">
        <f>G72*-1</f>
        <v>-8.6507876069538998</v>
      </c>
      <c r="N72">
        <v>39</v>
      </c>
      <c r="O72" t="s">
        <v>113</v>
      </c>
      <c r="P72" s="11" t="s">
        <v>113</v>
      </c>
      <c r="Q72" s="5" t="s">
        <v>113</v>
      </c>
      <c r="R72" t="s">
        <v>258</v>
      </c>
      <c r="S72" t="s">
        <v>534</v>
      </c>
      <c r="T72" t="s">
        <v>534</v>
      </c>
      <c r="U72" t="s">
        <v>260</v>
      </c>
      <c r="V72" s="4" t="s">
        <v>535</v>
      </c>
      <c r="W72">
        <v>11343</v>
      </c>
      <c r="X72" s="6" t="s">
        <v>262</v>
      </c>
      <c r="Y72" t="s">
        <v>536</v>
      </c>
    </row>
    <row r="73" spans="1:25" x14ac:dyDescent="0.2">
      <c r="A73">
        <v>107</v>
      </c>
      <c r="B73" s="5" t="s">
        <v>114</v>
      </c>
      <c r="C73">
        <v>920.80473570249399</v>
      </c>
      <c r="D73">
        <v>0.62458852347734395</v>
      </c>
      <c r="E73">
        <v>989.20086225659099</v>
      </c>
      <c r="F73">
        <v>412.625202391703</v>
      </c>
      <c r="G73">
        <v>7.4278643345504403</v>
      </c>
      <c r="H73">
        <v>65963.526126680503</v>
      </c>
      <c r="I73" t="s">
        <v>9</v>
      </c>
      <c r="J73" t="s">
        <v>9</v>
      </c>
      <c r="L73">
        <v>188</v>
      </c>
      <c r="M73">
        <f>G73*-1</f>
        <v>-7.4278643345504403</v>
      </c>
      <c r="N73">
        <v>53</v>
      </c>
      <c r="O73" s="5" t="s">
        <v>114</v>
      </c>
      <c r="P73" s="11" t="s">
        <v>114</v>
      </c>
      <c r="Q73" s="5" t="s">
        <v>482</v>
      </c>
      <c r="R73" t="s">
        <v>414</v>
      </c>
      <c r="S73" t="s">
        <v>478</v>
      </c>
      <c r="T73" t="s">
        <v>478</v>
      </c>
      <c r="U73" t="s">
        <v>260</v>
      </c>
      <c r="V73" s="4" t="s">
        <v>479</v>
      </c>
      <c r="W73">
        <v>3098</v>
      </c>
      <c r="X73" s="6" t="s">
        <v>262</v>
      </c>
      <c r="Y73" t="s">
        <v>480</v>
      </c>
    </row>
    <row r="74" spans="1:25" x14ac:dyDescent="0.2">
      <c r="A74">
        <v>64</v>
      </c>
      <c r="B74" t="s">
        <v>71</v>
      </c>
      <c r="C74">
        <v>877.792378317832</v>
      </c>
      <c r="D74">
        <v>3.4934953745836901</v>
      </c>
      <c r="E74">
        <v>908.42999303030501</v>
      </c>
      <c r="F74">
        <v>413.26913210113503</v>
      </c>
      <c r="G74">
        <v>3.4903031137255498</v>
      </c>
      <c r="H74">
        <v>11729.674517613599</v>
      </c>
      <c r="I74" t="s">
        <v>9</v>
      </c>
      <c r="J74" t="s">
        <v>9</v>
      </c>
      <c r="L74">
        <v>155</v>
      </c>
      <c r="M74">
        <f>G74*-1</f>
        <v>-3.4903031137255498</v>
      </c>
      <c r="N74">
        <v>86</v>
      </c>
      <c r="O74" t="s">
        <v>71</v>
      </c>
      <c r="P74" s="11" t="s">
        <v>288</v>
      </c>
      <c r="Q74" s="5" t="s">
        <v>288</v>
      </c>
      <c r="R74" t="s">
        <v>289</v>
      </c>
      <c r="S74" t="s">
        <v>290</v>
      </c>
      <c r="T74" t="s">
        <v>290</v>
      </c>
      <c r="U74" t="s">
        <v>260</v>
      </c>
      <c r="V74" s="4" t="s">
        <v>291</v>
      </c>
      <c r="W74">
        <v>9520</v>
      </c>
      <c r="X74" s="6" t="s">
        <v>262</v>
      </c>
      <c r="Y74" t="s">
        <v>292</v>
      </c>
    </row>
    <row r="75" spans="1:25" x14ac:dyDescent="0.2">
      <c r="A75">
        <v>111</v>
      </c>
      <c r="B75" t="s">
        <v>118</v>
      </c>
      <c r="C75">
        <v>924.92318735117306</v>
      </c>
      <c r="D75">
        <v>0.70603500740138303</v>
      </c>
      <c r="E75">
        <v>987.49649812056396</v>
      </c>
      <c r="F75">
        <v>413.46532156253801</v>
      </c>
      <c r="G75">
        <v>6.7652440359497303</v>
      </c>
      <c r="H75">
        <v>58461.589330298099</v>
      </c>
      <c r="I75" t="s">
        <v>9</v>
      </c>
      <c r="J75" t="s">
        <v>9</v>
      </c>
      <c r="L75">
        <v>178</v>
      </c>
      <c r="M75">
        <f>G75*-1</f>
        <v>-6.7652440359497303</v>
      </c>
      <c r="N75">
        <v>63</v>
      </c>
      <c r="O75" t="s">
        <v>118</v>
      </c>
      <c r="P75" s="11" t="s">
        <v>118</v>
      </c>
      <c r="Q75" s="5" t="s">
        <v>118</v>
      </c>
      <c r="R75" t="s">
        <v>308</v>
      </c>
      <c r="S75" t="s">
        <v>703</v>
      </c>
      <c r="T75" t="s">
        <v>703</v>
      </c>
      <c r="U75" t="s">
        <v>260</v>
      </c>
      <c r="V75" s="4" t="s">
        <v>336</v>
      </c>
      <c r="W75">
        <v>6389</v>
      </c>
      <c r="X75" s="6" t="s">
        <v>262</v>
      </c>
      <c r="Y75" t="s">
        <v>337</v>
      </c>
    </row>
    <row r="76" spans="1:25" x14ac:dyDescent="0.2">
      <c r="A76">
        <v>14</v>
      </c>
      <c r="B76" t="s">
        <v>21</v>
      </c>
      <c r="C76">
        <v>809.18642308848496</v>
      </c>
      <c r="D76">
        <v>25.783132316040099</v>
      </c>
      <c r="E76">
        <v>915.31542700449302</v>
      </c>
      <c r="F76">
        <v>416.653431742294</v>
      </c>
      <c r="G76">
        <v>13.115519599419001</v>
      </c>
      <c r="H76">
        <v>1515.99229540891</v>
      </c>
      <c r="I76" s="1">
        <v>1.7767316210427001E-6</v>
      </c>
      <c r="J76" s="1">
        <v>4.37046734562723E-6</v>
      </c>
      <c r="L76">
        <v>235</v>
      </c>
      <c r="M76">
        <f>G76*-1</f>
        <v>-13.115519599419001</v>
      </c>
      <c r="N76">
        <v>6</v>
      </c>
      <c r="O76" t="s">
        <v>21</v>
      </c>
      <c r="P76" s="11" t="s">
        <v>489</v>
      </c>
      <c r="Q76" s="5" t="s">
        <v>489</v>
      </c>
      <c r="R76" t="s">
        <v>406</v>
      </c>
      <c r="S76" t="s">
        <v>490</v>
      </c>
      <c r="T76" t="s">
        <v>490</v>
      </c>
      <c r="U76" t="s">
        <v>260</v>
      </c>
      <c r="V76" s="4" t="s">
        <v>491</v>
      </c>
      <c r="W76">
        <v>3320</v>
      </c>
      <c r="X76" s="6" t="s">
        <v>262</v>
      </c>
      <c r="Y76" t="s">
        <v>492</v>
      </c>
    </row>
    <row r="77" spans="1:25" x14ac:dyDescent="0.2">
      <c r="A77">
        <v>31</v>
      </c>
      <c r="B77" t="s">
        <v>38</v>
      </c>
      <c r="C77">
        <v>906.47790586813403</v>
      </c>
      <c r="D77">
        <v>5.9756771769563599</v>
      </c>
      <c r="E77">
        <v>919.47040843142599</v>
      </c>
      <c r="F77">
        <v>416.972030382475</v>
      </c>
      <c r="G77">
        <v>1.4332950068814501</v>
      </c>
      <c r="H77">
        <v>6877.8205554747701</v>
      </c>
      <c r="I77" s="1">
        <v>1.08904306344112E-5</v>
      </c>
      <c r="J77" s="1">
        <v>7.7191595862889808E-6</v>
      </c>
      <c r="L77">
        <v>138</v>
      </c>
      <c r="M77">
        <f>G77*-1</f>
        <v>-1.4332950068814501</v>
      </c>
      <c r="N77">
        <v>103</v>
      </c>
      <c r="O77" t="s">
        <v>38</v>
      </c>
      <c r="P77" s="11" t="s">
        <v>38</v>
      </c>
      <c r="Q77" s="5" t="s">
        <v>38</v>
      </c>
      <c r="R77" t="s">
        <v>303</v>
      </c>
      <c r="S77" t="s">
        <v>438</v>
      </c>
      <c r="T77" t="s">
        <v>438</v>
      </c>
      <c r="U77" t="s">
        <v>260</v>
      </c>
      <c r="V77" s="4" t="s">
        <v>439</v>
      </c>
      <c r="W77">
        <v>2678</v>
      </c>
      <c r="X77" s="6" t="s">
        <v>262</v>
      </c>
      <c r="Y77" t="s">
        <v>440</v>
      </c>
    </row>
    <row r="78" spans="1:25" x14ac:dyDescent="0.2">
      <c r="A78">
        <v>112</v>
      </c>
      <c r="B78" t="s">
        <v>119</v>
      </c>
      <c r="C78">
        <v>889.52171200298403</v>
      </c>
      <c r="D78">
        <v>0.97681580231671605</v>
      </c>
      <c r="E78">
        <v>967.82098343631105</v>
      </c>
      <c r="F78">
        <v>418.02629783800302</v>
      </c>
      <c r="G78">
        <v>8.8024013778164107</v>
      </c>
      <c r="H78">
        <v>42694.792717989403</v>
      </c>
      <c r="I78" t="s">
        <v>9</v>
      </c>
      <c r="J78" t="s">
        <v>9</v>
      </c>
      <c r="L78">
        <v>204</v>
      </c>
      <c r="M78">
        <f>G78*-1</f>
        <v>-8.8024013778164107</v>
      </c>
      <c r="N78">
        <v>37</v>
      </c>
      <c r="O78" t="s">
        <v>119</v>
      </c>
      <c r="P78" s="11" t="s">
        <v>473</v>
      </c>
      <c r="Q78" s="5" t="s">
        <v>473</v>
      </c>
      <c r="R78" t="s">
        <v>299</v>
      </c>
      <c r="S78" t="s">
        <v>474</v>
      </c>
      <c r="T78" t="s">
        <v>474</v>
      </c>
      <c r="U78" t="s">
        <v>260</v>
      </c>
      <c r="V78" s="4" t="s">
        <v>475</v>
      </c>
      <c r="W78">
        <v>1128</v>
      </c>
      <c r="X78" s="6" t="s">
        <v>262</v>
      </c>
      <c r="Y78" t="s">
        <v>476</v>
      </c>
    </row>
    <row r="79" spans="1:25" x14ac:dyDescent="0.2">
      <c r="A79">
        <v>115</v>
      </c>
      <c r="B79" t="s">
        <v>122</v>
      </c>
      <c r="C79">
        <v>921.92515278387395</v>
      </c>
      <c r="D79">
        <v>0.78785721606006698</v>
      </c>
      <c r="E79">
        <v>985.79002708123505</v>
      </c>
      <c r="F79">
        <v>418.153490678536</v>
      </c>
      <c r="G79">
        <v>6.9273383098956103</v>
      </c>
      <c r="H79">
        <v>52974.780830167103</v>
      </c>
      <c r="I79" t="s">
        <v>9</v>
      </c>
      <c r="J79" t="s">
        <v>9</v>
      </c>
      <c r="L79">
        <v>180</v>
      </c>
      <c r="M79">
        <f>G79*-1</f>
        <v>-6.9273383098956103</v>
      </c>
      <c r="N79">
        <v>61</v>
      </c>
      <c r="O79" t="s">
        <v>122</v>
      </c>
      <c r="P79" s="11" t="s">
        <v>122</v>
      </c>
      <c r="Q79" s="5" t="s">
        <v>122</v>
      </c>
      <c r="R79" t="s">
        <v>299</v>
      </c>
      <c r="S79" t="s">
        <v>348</v>
      </c>
      <c r="T79" t="s">
        <v>348</v>
      </c>
      <c r="U79" t="s">
        <v>260</v>
      </c>
      <c r="V79" s="4" t="s">
        <v>349</v>
      </c>
      <c r="W79">
        <v>1584</v>
      </c>
      <c r="X79" s="6" t="s">
        <v>262</v>
      </c>
      <c r="Y79" t="s">
        <v>350</v>
      </c>
    </row>
    <row r="80" spans="1:25" ht="17" customHeight="1" x14ac:dyDescent="0.2">
      <c r="A80">
        <v>118</v>
      </c>
      <c r="B80" t="s">
        <v>125</v>
      </c>
      <c r="C80">
        <v>906.68691309235305</v>
      </c>
      <c r="D80">
        <v>1.01012062621075</v>
      </c>
      <c r="E80">
        <v>970.13740195102196</v>
      </c>
      <c r="F80">
        <v>419.59361866851702</v>
      </c>
      <c r="G80">
        <v>6.9980594119600399</v>
      </c>
      <c r="H80">
        <v>41438.9615636831</v>
      </c>
      <c r="I80" t="s">
        <v>9</v>
      </c>
      <c r="J80" t="s">
        <v>9</v>
      </c>
      <c r="L80">
        <v>182</v>
      </c>
      <c r="M80">
        <f>G80*-1</f>
        <v>-6.9980594119600399</v>
      </c>
      <c r="N80">
        <v>59</v>
      </c>
      <c r="O80" t="s">
        <v>125</v>
      </c>
      <c r="P80" s="11" t="s">
        <v>579</v>
      </c>
      <c r="Q80" s="5" t="s">
        <v>579</v>
      </c>
      <c r="R80" t="s">
        <v>289</v>
      </c>
      <c r="S80" t="s">
        <v>580</v>
      </c>
      <c r="T80" t="s">
        <v>580</v>
      </c>
      <c r="U80" t="s">
        <v>260</v>
      </c>
      <c r="V80" s="4" t="s">
        <v>580</v>
      </c>
      <c r="W80">
        <v>4942</v>
      </c>
      <c r="X80" s="6" t="s">
        <v>262</v>
      </c>
      <c r="Y80" t="s">
        <v>581</v>
      </c>
    </row>
    <row r="81" spans="1:25" x14ac:dyDescent="0.2">
      <c r="A81">
        <v>35</v>
      </c>
      <c r="B81" t="s">
        <v>42</v>
      </c>
      <c r="C81">
        <v>778.90399292839004</v>
      </c>
      <c r="D81">
        <v>1.1792378948155799</v>
      </c>
      <c r="E81">
        <v>836.89947638820104</v>
      </c>
      <c r="F81">
        <v>420.69188539274802</v>
      </c>
      <c r="G81">
        <v>7.4457807363100503</v>
      </c>
      <c r="H81">
        <v>35574.895391530903</v>
      </c>
      <c r="I81" s="1">
        <v>2.0480332015679502E-6</v>
      </c>
      <c r="J81" s="1">
        <v>2.13601344658785E-6</v>
      </c>
      <c r="L81">
        <v>189</v>
      </c>
      <c r="M81">
        <f>G81*-1</f>
        <v>-7.4457807363100503</v>
      </c>
      <c r="N81">
        <v>52</v>
      </c>
      <c r="O81" t="s">
        <v>42</v>
      </c>
      <c r="P81" s="11" t="s">
        <v>578</v>
      </c>
      <c r="Q81" s="5" t="s">
        <v>578</v>
      </c>
      <c r="R81" t="s">
        <v>303</v>
      </c>
      <c r="S81" t="s">
        <v>576</v>
      </c>
      <c r="T81" t="s">
        <v>576</v>
      </c>
      <c r="U81" t="s">
        <v>260</v>
      </c>
      <c r="V81" s="4" t="s">
        <v>576</v>
      </c>
      <c r="W81">
        <v>1728</v>
      </c>
      <c r="X81" s="6" t="s">
        <v>262</v>
      </c>
      <c r="Y81" t="s">
        <v>577</v>
      </c>
    </row>
    <row r="82" spans="1:25" x14ac:dyDescent="0.2">
      <c r="A82">
        <v>121</v>
      </c>
      <c r="B82" t="s">
        <v>128</v>
      </c>
      <c r="C82">
        <v>920.77426739592704</v>
      </c>
      <c r="D82">
        <v>0.93128693644831095</v>
      </c>
      <c r="E82">
        <v>959.22848654622805</v>
      </c>
      <c r="F82">
        <v>420.97277412351002</v>
      </c>
      <c r="G82">
        <v>4.17629168319991</v>
      </c>
      <c r="H82">
        <v>45103.337193689396</v>
      </c>
      <c r="I82" t="s">
        <v>9</v>
      </c>
      <c r="J82" t="s">
        <v>9</v>
      </c>
      <c r="L82">
        <v>161</v>
      </c>
      <c r="M82">
        <f>G82*-1</f>
        <v>-4.17629168319991</v>
      </c>
      <c r="N82">
        <v>80</v>
      </c>
      <c r="O82" t="s">
        <v>128</v>
      </c>
      <c r="P82" t="s">
        <v>128</v>
      </c>
      <c r="Q82" s="5" t="s">
        <v>498</v>
      </c>
      <c r="R82" t="s">
        <v>494</v>
      </c>
      <c r="S82" t="s">
        <v>495</v>
      </c>
      <c r="T82" t="s">
        <v>495</v>
      </c>
      <c r="U82" t="s">
        <v>260</v>
      </c>
      <c r="V82" s="4" t="s">
        <v>496</v>
      </c>
      <c r="W82">
        <v>3417</v>
      </c>
      <c r="X82" s="6" t="s">
        <v>262</v>
      </c>
      <c r="Y82" t="s">
        <v>497</v>
      </c>
    </row>
    <row r="83" spans="1:25" x14ac:dyDescent="0.2">
      <c r="A83">
        <v>81</v>
      </c>
      <c r="B83" t="s">
        <v>88</v>
      </c>
      <c r="C83">
        <v>942.44013488472206</v>
      </c>
      <c r="D83">
        <v>1.41956735430286</v>
      </c>
      <c r="E83">
        <v>962.10069510649305</v>
      </c>
      <c r="F83">
        <v>422.041092924851</v>
      </c>
      <c r="G83">
        <v>2.0861335902440401</v>
      </c>
      <c r="H83">
        <v>29630.261945345399</v>
      </c>
      <c r="I83" t="s">
        <v>9</v>
      </c>
      <c r="J83" s="1">
        <v>9.1364347178900206E-6</v>
      </c>
      <c r="L83">
        <v>142</v>
      </c>
      <c r="M83">
        <f>G83*-1</f>
        <v>-2.0861335902440401</v>
      </c>
      <c r="N83">
        <v>99</v>
      </c>
      <c r="O83" t="s">
        <v>88</v>
      </c>
      <c r="P83" s="11" t="s">
        <v>88</v>
      </c>
      <c r="Q83" s="5" t="s">
        <v>88</v>
      </c>
      <c r="R83" t="s">
        <v>414</v>
      </c>
      <c r="S83" t="s">
        <v>526</v>
      </c>
      <c r="T83" t="s">
        <v>526</v>
      </c>
      <c r="U83" t="s">
        <v>260</v>
      </c>
      <c r="V83" s="4" t="s">
        <v>527</v>
      </c>
      <c r="W83">
        <v>3948</v>
      </c>
      <c r="X83" s="6" t="s">
        <v>262</v>
      </c>
      <c r="Y83" t="s">
        <v>528</v>
      </c>
    </row>
    <row r="84" spans="1:25" x14ac:dyDescent="0.2">
      <c r="A84">
        <v>110</v>
      </c>
      <c r="B84" t="s">
        <v>117</v>
      </c>
      <c r="C84">
        <v>901.12343297015502</v>
      </c>
      <c r="D84">
        <v>0.60638113522744297</v>
      </c>
      <c r="E84">
        <v>971.34511533007105</v>
      </c>
      <c r="F84">
        <v>425.25455459315799</v>
      </c>
      <c r="G84">
        <v>7.7926818669515399</v>
      </c>
      <c r="H84">
        <v>70029.911682304097</v>
      </c>
      <c r="I84" t="s">
        <v>9</v>
      </c>
      <c r="J84" t="s">
        <v>9</v>
      </c>
      <c r="L84">
        <v>193</v>
      </c>
      <c r="M84">
        <f>G84*-1</f>
        <v>-7.7926818669515399</v>
      </c>
      <c r="N84">
        <v>48</v>
      </c>
      <c r="O84" t="s">
        <v>117</v>
      </c>
      <c r="P84" s="11" t="s">
        <v>117</v>
      </c>
      <c r="Q84" s="5" t="s">
        <v>117</v>
      </c>
      <c r="R84" t="s">
        <v>368</v>
      </c>
      <c r="S84" t="s">
        <v>379</v>
      </c>
      <c r="T84" t="s">
        <v>379</v>
      </c>
      <c r="U84" t="s">
        <v>260</v>
      </c>
      <c r="V84" s="4" t="s">
        <v>379</v>
      </c>
      <c r="W84">
        <v>1576</v>
      </c>
      <c r="X84" s="6" t="s">
        <v>262</v>
      </c>
      <c r="Y84" t="s">
        <v>380</v>
      </c>
    </row>
    <row r="85" spans="1:25" x14ac:dyDescent="0.2">
      <c r="A85">
        <v>120</v>
      </c>
      <c r="B85" t="s">
        <v>127</v>
      </c>
      <c r="C85">
        <v>927.12249185888697</v>
      </c>
      <c r="D85">
        <v>4.0214510208991099</v>
      </c>
      <c r="E85">
        <v>953.07254226954399</v>
      </c>
      <c r="F85">
        <v>425.98863619745202</v>
      </c>
      <c r="G85">
        <v>2.79898833633372</v>
      </c>
      <c r="H85">
        <v>10492.908728308001</v>
      </c>
      <c r="I85" t="s">
        <v>9</v>
      </c>
      <c r="J85" t="s">
        <v>9</v>
      </c>
      <c r="L85">
        <v>149</v>
      </c>
      <c r="M85">
        <f>G85*-1</f>
        <v>-2.79898833633372</v>
      </c>
      <c r="N85">
        <v>92</v>
      </c>
      <c r="O85" t="s">
        <v>127</v>
      </c>
      <c r="P85" s="11" t="s">
        <v>127</v>
      </c>
      <c r="Q85" s="5" t="s">
        <v>127</v>
      </c>
      <c r="R85" t="s">
        <v>303</v>
      </c>
      <c r="S85" t="s">
        <v>729</v>
      </c>
      <c r="T85" t="s">
        <v>729</v>
      </c>
      <c r="U85" t="s">
        <v>260</v>
      </c>
      <c r="V85" s="4" t="s">
        <v>382</v>
      </c>
      <c r="X85" s="6" t="s">
        <v>262</v>
      </c>
    </row>
    <row r="86" spans="1:25" x14ac:dyDescent="0.2">
      <c r="A86">
        <v>116</v>
      </c>
      <c r="B86" t="s">
        <v>123</v>
      </c>
      <c r="C86">
        <v>919.06590672551795</v>
      </c>
      <c r="D86">
        <v>1.00480836597865</v>
      </c>
      <c r="E86">
        <v>939.14870985201605</v>
      </c>
      <c r="F86">
        <v>426.49105972720997</v>
      </c>
      <c r="G86">
        <v>2.1851319888526302</v>
      </c>
      <c r="H86">
        <v>42345.014807556799</v>
      </c>
      <c r="I86" t="s">
        <v>9</v>
      </c>
      <c r="J86" t="s">
        <v>9</v>
      </c>
      <c r="L86">
        <v>143</v>
      </c>
      <c r="M86">
        <f>G86*-1</f>
        <v>-2.1851319888526302</v>
      </c>
      <c r="N86">
        <v>98</v>
      </c>
      <c r="O86" t="s">
        <v>123</v>
      </c>
      <c r="P86" s="11" t="s">
        <v>532</v>
      </c>
      <c r="Q86" s="5" t="s">
        <v>532</v>
      </c>
      <c r="R86" t="s">
        <v>406</v>
      </c>
      <c r="S86" t="s">
        <v>533</v>
      </c>
      <c r="T86" t="s">
        <v>533</v>
      </c>
      <c r="U86" t="s">
        <v>260</v>
      </c>
      <c r="V86" s="4" t="s">
        <v>382</v>
      </c>
      <c r="X86" s="6" t="s">
        <v>262</v>
      </c>
    </row>
    <row r="87" spans="1:25" ht="16" customHeight="1" x14ac:dyDescent="0.2">
      <c r="A87">
        <v>80</v>
      </c>
      <c r="B87" t="s">
        <v>87</v>
      </c>
      <c r="C87">
        <v>926.77520697150396</v>
      </c>
      <c r="D87">
        <v>0.91954812133077302</v>
      </c>
      <c r="E87">
        <v>987.99231687272197</v>
      </c>
      <c r="F87">
        <v>427.778139223577</v>
      </c>
      <c r="G87">
        <v>6.60538925089089</v>
      </c>
      <c r="H87">
        <v>46420.473404316799</v>
      </c>
      <c r="I87" t="s">
        <v>9</v>
      </c>
      <c r="J87" t="s">
        <v>9</v>
      </c>
      <c r="L87">
        <v>175</v>
      </c>
      <c r="M87">
        <f>G87*-1</f>
        <v>-6.60538925089089</v>
      </c>
      <c r="N87">
        <v>66</v>
      </c>
      <c r="O87" t="s">
        <v>87</v>
      </c>
      <c r="P87" s="11" t="s">
        <v>698</v>
      </c>
      <c r="Q87" s="5" t="s">
        <v>698</v>
      </c>
      <c r="R87" t="s">
        <v>258</v>
      </c>
      <c r="S87" t="s">
        <v>699</v>
      </c>
      <c r="T87" t="s">
        <v>699</v>
      </c>
      <c r="U87" t="s">
        <v>260</v>
      </c>
      <c r="V87" s="4" t="s">
        <v>700</v>
      </c>
      <c r="W87">
        <v>6720</v>
      </c>
      <c r="X87" s="6" t="s">
        <v>262</v>
      </c>
      <c r="Y87" t="s">
        <v>701</v>
      </c>
    </row>
    <row r="88" spans="1:25" ht="16" customHeight="1" x14ac:dyDescent="0.2">
      <c r="A88">
        <v>43</v>
      </c>
      <c r="B88" t="s">
        <v>50</v>
      </c>
      <c r="C88">
        <v>917.38155609120599</v>
      </c>
      <c r="D88">
        <v>1.18874462954459</v>
      </c>
      <c r="E88">
        <v>987.38816741161395</v>
      </c>
      <c r="F88">
        <v>432.63311791450201</v>
      </c>
      <c r="G88">
        <v>7.6311335077078297</v>
      </c>
      <c r="H88">
        <v>36294.117555782002</v>
      </c>
      <c r="I88" t="s">
        <v>9</v>
      </c>
      <c r="J88" t="s">
        <v>9</v>
      </c>
      <c r="L88">
        <v>190</v>
      </c>
      <c r="M88">
        <f>G88*-1</f>
        <v>-7.6311335077078297</v>
      </c>
      <c r="N88">
        <v>51</v>
      </c>
      <c r="O88" t="s">
        <v>50</v>
      </c>
      <c r="P88" s="11" t="s">
        <v>50</v>
      </c>
      <c r="Q88" s="5" t="s">
        <v>50</v>
      </c>
      <c r="R88" t="s">
        <v>434</v>
      </c>
      <c r="S88" t="s">
        <v>441</v>
      </c>
      <c r="T88" t="s">
        <v>441</v>
      </c>
      <c r="U88" t="s">
        <v>260</v>
      </c>
      <c r="V88" s="4" t="s">
        <v>441</v>
      </c>
      <c r="W88">
        <v>2744</v>
      </c>
      <c r="X88" s="6" t="s">
        <v>262</v>
      </c>
      <c r="Y88" t="s">
        <v>442</v>
      </c>
    </row>
    <row r="89" spans="1:25" x14ac:dyDescent="0.2">
      <c r="A89">
        <v>91</v>
      </c>
      <c r="B89" t="s">
        <v>98</v>
      </c>
      <c r="C89">
        <v>922.94261271373796</v>
      </c>
      <c r="D89">
        <v>0.66151232156108797</v>
      </c>
      <c r="E89">
        <v>949.92555960450795</v>
      </c>
      <c r="F89">
        <v>443.17038263665302</v>
      </c>
      <c r="G89">
        <v>2.9235779688871801</v>
      </c>
      <c r="H89">
        <v>66893.518970414007</v>
      </c>
      <c r="I89" t="s">
        <v>9</v>
      </c>
      <c r="J89" t="s">
        <v>9</v>
      </c>
      <c r="L89">
        <v>151</v>
      </c>
      <c r="M89">
        <f>G89*-1</f>
        <v>-2.9235779688871801</v>
      </c>
      <c r="N89">
        <v>90</v>
      </c>
      <c r="O89" t="s">
        <v>98</v>
      </c>
      <c r="P89" s="11" t="s">
        <v>667</v>
      </c>
      <c r="Q89" s="5" t="s">
        <v>667</v>
      </c>
      <c r="R89" t="s">
        <v>518</v>
      </c>
      <c r="S89" t="s">
        <v>668</v>
      </c>
      <c r="T89" t="s">
        <v>668</v>
      </c>
      <c r="U89" t="s">
        <v>260</v>
      </c>
      <c r="V89" s="4"/>
      <c r="X89" s="6" t="s">
        <v>262</v>
      </c>
    </row>
    <row r="90" spans="1:25" x14ac:dyDescent="0.2">
      <c r="A90">
        <v>11</v>
      </c>
      <c r="B90" t="s">
        <v>18</v>
      </c>
      <c r="C90">
        <v>391.41012158042201</v>
      </c>
      <c r="D90">
        <v>277.05338737997499</v>
      </c>
      <c r="E90">
        <v>456.77871430544599</v>
      </c>
      <c r="F90">
        <v>450.01033646745998</v>
      </c>
      <c r="G90">
        <v>16.700792626690902</v>
      </c>
      <c r="H90">
        <v>62.427299923345302</v>
      </c>
      <c r="I90" s="1">
        <v>9.6186132721133601E-9</v>
      </c>
      <c r="J90" s="1">
        <v>6.7438541437418205E-8</v>
      </c>
      <c r="L90">
        <v>236</v>
      </c>
      <c r="M90">
        <f>G90*-1</f>
        <v>-16.700792626690902</v>
      </c>
      <c r="N90">
        <v>5</v>
      </c>
      <c r="O90" t="s">
        <v>18</v>
      </c>
      <c r="P90" s="12" t="s">
        <v>510</v>
      </c>
      <c r="Q90" s="9" t="s">
        <v>510</v>
      </c>
      <c r="R90" s="8" t="s">
        <v>361</v>
      </c>
      <c r="S90" s="8" t="s">
        <v>506</v>
      </c>
      <c r="T90" s="8" t="s">
        <v>507</v>
      </c>
      <c r="U90" s="8" t="s">
        <v>364</v>
      </c>
      <c r="V90" s="10" t="s">
        <v>508</v>
      </c>
      <c r="W90" s="8">
        <v>3614</v>
      </c>
      <c r="X90" s="8" t="s">
        <v>262</v>
      </c>
      <c r="Y90" s="8" t="s">
        <v>509</v>
      </c>
    </row>
    <row r="91" spans="1:25" x14ac:dyDescent="0.2">
      <c r="A91">
        <v>49</v>
      </c>
      <c r="B91" t="s">
        <v>56</v>
      </c>
      <c r="C91">
        <v>919.36377551453597</v>
      </c>
      <c r="D91">
        <v>1.32709538066601</v>
      </c>
      <c r="E91">
        <v>930.57911838132998</v>
      </c>
      <c r="F91">
        <v>450.01330877088702</v>
      </c>
      <c r="G91">
        <v>1.2199026289149899</v>
      </c>
      <c r="H91">
        <v>33809.643219844897</v>
      </c>
      <c r="I91" t="s">
        <v>9</v>
      </c>
      <c r="J91" t="s">
        <v>9</v>
      </c>
      <c r="L91">
        <v>135</v>
      </c>
      <c r="M91">
        <f>G91*-1</f>
        <v>-1.2199026289149899</v>
      </c>
      <c r="N91">
        <v>106</v>
      </c>
      <c r="O91" t="s">
        <v>56</v>
      </c>
      <c r="P91" s="11" t="s">
        <v>56</v>
      </c>
      <c r="Q91" s="5" t="s">
        <v>56</v>
      </c>
      <c r="R91" t="s">
        <v>518</v>
      </c>
      <c r="S91" t="s">
        <v>670</v>
      </c>
      <c r="T91" t="s">
        <v>670</v>
      </c>
      <c r="U91" t="s">
        <v>260</v>
      </c>
      <c r="V91" s="4" t="s">
        <v>671</v>
      </c>
      <c r="W91">
        <v>6523</v>
      </c>
      <c r="X91" s="6" t="s">
        <v>262</v>
      </c>
      <c r="Y91" t="s">
        <v>672</v>
      </c>
    </row>
    <row r="92" spans="1:25" x14ac:dyDescent="0.2">
      <c r="A92">
        <v>38</v>
      </c>
      <c r="B92" t="s">
        <v>45</v>
      </c>
      <c r="C92">
        <v>917.50930842990101</v>
      </c>
      <c r="D92">
        <v>1.5432400271916</v>
      </c>
      <c r="E92">
        <v>961.56191019894504</v>
      </c>
      <c r="F92">
        <v>451.983483055514</v>
      </c>
      <c r="G92">
        <v>4.8013247783207804</v>
      </c>
      <c r="H92">
        <v>29187.957485008701</v>
      </c>
      <c r="I92" t="s">
        <v>9</v>
      </c>
      <c r="J92" t="s">
        <v>9</v>
      </c>
      <c r="L92">
        <v>164</v>
      </c>
      <c r="M92">
        <f>G92*-1</f>
        <v>-4.8013247783207804</v>
      </c>
      <c r="N92">
        <v>77</v>
      </c>
      <c r="O92" t="s">
        <v>45</v>
      </c>
      <c r="P92" s="11" t="s">
        <v>45</v>
      </c>
      <c r="Q92" s="5" t="s">
        <v>45</v>
      </c>
      <c r="R92" t="s">
        <v>289</v>
      </c>
      <c r="S92" t="s">
        <v>708</v>
      </c>
      <c r="T92" t="s">
        <v>708</v>
      </c>
      <c r="U92" t="s">
        <v>260</v>
      </c>
      <c r="V92" s="4" t="s">
        <v>709</v>
      </c>
      <c r="W92">
        <v>18</v>
      </c>
      <c r="X92" s="6" t="s">
        <v>262</v>
      </c>
      <c r="Y92" t="s">
        <v>710</v>
      </c>
    </row>
    <row r="93" spans="1:25" x14ac:dyDescent="0.2">
      <c r="A93">
        <v>41</v>
      </c>
      <c r="B93" t="s">
        <v>48</v>
      </c>
      <c r="C93">
        <v>913.35313036029004</v>
      </c>
      <c r="D93">
        <v>1.31005369472263</v>
      </c>
      <c r="E93">
        <v>936.94461237903499</v>
      </c>
      <c r="F93">
        <v>457.64895037781798</v>
      </c>
      <c r="G93">
        <v>2.5829529931582198</v>
      </c>
      <c r="H93">
        <v>34833.602509682903</v>
      </c>
      <c r="I93" t="s">
        <v>9</v>
      </c>
      <c r="J93" t="s">
        <v>9</v>
      </c>
      <c r="L93">
        <v>145</v>
      </c>
      <c r="M93">
        <f>G93*-1</f>
        <v>-2.5829529931582198</v>
      </c>
      <c r="N93">
        <v>96</v>
      </c>
      <c r="O93" t="s">
        <v>48</v>
      </c>
      <c r="P93" s="11" t="s">
        <v>694</v>
      </c>
      <c r="Q93" s="5" t="s">
        <v>694</v>
      </c>
      <c r="R93" t="s">
        <v>258</v>
      </c>
      <c r="S93" t="s">
        <v>695</v>
      </c>
      <c r="T93" t="s">
        <v>695</v>
      </c>
      <c r="U93" t="s">
        <v>260</v>
      </c>
      <c r="V93" s="4" t="s">
        <v>695</v>
      </c>
      <c r="W93">
        <v>6713</v>
      </c>
      <c r="X93" s="6" t="s">
        <v>262</v>
      </c>
      <c r="Y93" t="s">
        <v>696</v>
      </c>
    </row>
    <row r="94" spans="1:25" x14ac:dyDescent="0.2">
      <c r="A94">
        <v>100</v>
      </c>
      <c r="B94" t="s">
        <v>107</v>
      </c>
      <c r="C94">
        <v>936.46223563963304</v>
      </c>
      <c r="D94">
        <v>27.429231788016001</v>
      </c>
      <c r="E94">
        <v>944.18532888562504</v>
      </c>
      <c r="F94">
        <v>457.87983996706498</v>
      </c>
      <c r="G94">
        <v>0.82470952400087205</v>
      </c>
      <c r="H94">
        <v>1569.3133934837899</v>
      </c>
      <c r="I94" t="s">
        <v>9</v>
      </c>
      <c r="J94" t="s">
        <v>9</v>
      </c>
      <c r="L94">
        <v>132</v>
      </c>
      <c r="M94">
        <f>G94*-1</f>
        <v>-0.82470952400087205</v>
      </c>
      <c r="N94">
        <v>109</v>
      </c>
      <c r="O94" t="s">
        <v>107</v>
      </c>
      <c r="P94" s="12" t="s">
        <v>107</v>
      </c>
      <c r="Q94" s="9" t="s">
        <v>107</v>
      </c>
      <c r="R94" s="8" t="s">
        <v>361</v>
      </c>
      <c r="S94" s="8" t="s">
        <v>391</v>
      </c>
      <c r="T94" s="8" t="s">
        <v>391</v>
      </c>
      <c r="U94" s="8" t="s">
        <v>364</v>
      </c>
      <c r="V94" s="10" t="s">
        <v>391</v>
      </c>
      <c r="W94" s="8">
        <v>1723</v>
      </c>
      <c r="X94" s="8" t="s">
        <v>262</v>
      </c>
      <c r="Y94" s="8" t="s">
        <v>392</v>
      </c>
    </row>
    <row r="95" spans="1:25" x14ac:dyDescent="0.2">
      <c r="A95">
        <v>48</v>
      </c>
      <c r="B95" t="s">
        <v>55</v>
      </c>
      <c r="C95">
        <v>883.42220041219105</v>
      </c>
      <c r="D95">
        <v>11.7564067698942</v>
      </c>
      <c r="E95">
        <v>890.63125072809396</v>
      </c>
      <c r="F95">
        <v>458.41470666323301</v>
      </c>
      <c r="G95">
        <v>0.81603680692409597</v>
      </c>
      <c r="H95">
        <v>3799.2756514442799</v>
      </c>
      <c r="I95" s="1">
        <v>7.4021232090231101E-6</v>
      </c>
      <c r="J95" s="1">
        <v>6.6036545681181597E-6</v>
      </c>
      <c r="L95">
        <v>131</v>
      </c>
      <c r="M95">
        <f>G95*-1</f>
        <v>-0.81603680692409597</v>
      </c>
      <c r="N95">
        <v>110</v>
      </c>
      <c r="O95" t="s">
        <v>55</v>
      </c>
      <c r="P95" s="11" t="s">
        <v>55</v>
      </c>
      <c r="Q95" s="5" t="s">
        <v>55</v>
      </c>
      <c r="R95" t="s">
        <v>303</v>
      </c>
      <c r="S95" t="s">
        <v>714</v>
      </c>
      <c r="T95" t="s">
        <v>714</v>
      </c>
      <c r="U95" t="s">
        <v>260</v>
      </c>
      <c r="V95" s="4" t="s">
        <v>715</v>
      </c>
      <c r="W95">
        <v>7296</v>
      </c>
      <c r="X95" s="6" t="s">
        <v>262</v>
      </c>
      <c r="Y95" t="s">
        <v>716</v>
      </c>
    </row>
    <row r="96" spans="1:25" x14ac:dyDescent="0.2">
      <c r="A96">
        <v>88</v>
      </c>
      <c r="B96" t="s">
        <v>95</v>
      </c>
      <c r="C96">
        <v>931.404666003687</v>
      </c>
      <c r="D96">
        <v>0.904145651686172</v>
      </c>
      <c r="E96">
        <v>960.92941152461196</v>
      </c>
      <c r="F96">
        <v>458.81928779110001</v>
      </c>
      <c r="G96">
        <v>3.1699159987682699</v>
      </c>
      <c r="H96">
        <v>50646.169816271497</v>
      </c>
      <c r="I96" t="s">
        <v>9</v>
      </c>
      <c r="J96" t="s">
        <v>9</v>
      </c>
      <c r="L96">
        <v>154</v>
      </c>
      <c r="M96">
        <f>G96*-1</f>
        <v>-3.1699159987682699</v>
      </c>
      <c r="N96">
        <v>87</v>
      </c>
      <c r="O96" t="s">
        <v>95</v>
      </c>
      <c r="P96" s="11" t="s">
        <v>95</v>
      </c>
      <c r="Q96" s="5" t="s">
        <v>95</v>
      </c>
      <c r="R96" t="s">
        <v>361</v>
      </c>
      <c r="S96" t="s">
        <v>506</v>
      </c>
      <c r="T96" t="s">
        <v>506</v>
      </c>
      <c r="U96" t="s">
        <v>260</v>
      </c>
      <c r="V96" s="4" t="s">
        <v>646</v>
      </c>
      <c r="W96">
        <v>7498</v>
      </c>
      <c r="X96" s="6" t="s">
        <v>262</v>
      </c>
      <c r="Y96" t="s">
        <v>647</v>
      </c>
    </row>
    <row r="97" spans="1:25" x14ac:dyDescent="0.2">
      <c r="A97">
        <v>45</v>
      </c>
      <c r="B97" t="s">
        <v>52</v>
      </c>
      <c r="C97">
        <v>908.06590127672496</v>
      </c>
      <c r="D97">
        <v>1.1617129613585799</v>
      </c>
      <c r="E97">
        <v>918.632713151134</v>
      </c>
      <c r="F97">
        <v>464.34324956317897</v>
      </c>
      <c r="G97">
        <v>1.1636613443532</v>
      </c>
      <c r="H97">
        <v>39870.566310988601</v>
      </c>
      <c r="I97" t="s">
        <v>9</v>
      </c>
      <c r="J97" t="s">
        <v>9</v>
      </c>
      <c r="L97">
        <v>134</v>
      </c>
      <c r="M97">
        <f>G97*-1</f>
        <v>-1.1636613443532</v>
      </c>
      <c r="N97">
        <v>107</v>
      </c>
      <c r="O97" t="s">
        <v>52</v>
      </c>
      <c r="P97" s="11" t="s">
        <v>421</v>
      </c>
      <c r="Q97" s="5" t="s">
        <v>421</v>
      </c>
      <c r="R97" t="s">
        <v>258</v>
      </c>
      <c r="S97" t="s">
        <v>422</v>
      </c>
      <c r="T97" t="s">
        <v>422</v>
      </c>
      <c r="U97" t="s">
        <v>260</v>
      </c>
      <c r="V97" s="4" t="s">
        <v>422</v>
      </c>
      <c r="W97">
        <v>355</v>
      </c>
      <c r="X97" s="6" t="s">
        <v>262</v>
      </c>
      <c r="Y97" t="s">
        <v>423</v>
      </c>
    </row>
    <row r="98" spans="1:25" x14ac:dyDescent="0.2">
      <c r="A98">
        <v>29</v>
      </c>
      <c r="B98" t="s">
        <v>36</v>
      </c>
      <c r="C98">
        <v>920.81526267727304</v>
      </c>
      <c r="D98">
        <v>1.6089420255117699</v>
      </c>
      <c r="E98">
        <v>947.39652583968802</v>
      </c>
      <c r="F98">
        <v>467.45000610853901</v>
      </c>
      <c r="G98">
        <v>2.88670966260162</v>
      </c>
      <c r="H98">
        <v>28953.2535477686</v>
      </c>
      <c r="I98" t="s">
        <v>9</v>
      </c>
      <c r="J98" t="s">
        <v>9</v>
      </c>
      <c r="L98">
        <v>150</v>
      </c>
      <c r="M98">
        <f>G98*-1</f>
        <v>-2.88670966260162</v>
      </c>
      <c r="N98">
        <v>91</v>
      </c>
      <c r="O98" t="s">
        <v>36</v>
      </c>
      <c r="P98" s="11" t="s">
        <v>36</v>
      </c>
      <c r="Q98" s="5" t="s">
        <v>36</v>
      </c>
      <c r="R98" t="s">
        <v>303</v>
      </c>
      <c r="S98" t="s">
        <v>729</v>
      </c>
      <c r="T98" t="s">
        <v>729</v>
      </c>
      <c r="U98" t="s">
        <v>260</v>
      </c>
      <c r="V98" s="4"/>
      <c r="X98" s="6" t="s">
        <v>262</v>
      </c>
    </row>
    <row r="99" spans="1:25" x14ac:dyDescent="0.2">
      <c r="A99">
        <v>78</v>
      </c>
      <c r="B99" t="s">
        <v>85</v>
      </c>
      <c r="C99">
        <v>924.98261980592895</v>
      </c>
      <c r="D99">
        <v>1.08201631760741</v>
      </c>
      <c r="E99">
        <v>960.00896741638496</v>
      </c>
      <c r="F99">
        <v>467.567231732506</v>
      </c>
      <c r="G99">
        <v>3.7867033239830401</v>
      </c>
      <c r="H99">
        <v>43112.585995598201</v>
      </c>
      <c r="I99" t="s">
        <v>9</v>
      </c>
      <c r="J99" t="s">
        <v>9</v>
      </c>
      <c r="L99">
        <v>158</v>
      </c>
      <c r="M99">
        <f>G99*-1</f>
        <v>-3.7867033239830401</v>
      </c>
      <c r="N99">
        <v>83</v>
      </c>
      <c r="O99" t="s">
        <v>85</v>
      </c>
      <c r="P99" s="11" t="s">
        <v>85</v>
      </c>
      <c r="Q99" s="5" t="s">
        <v>85</v>
      </c>
      <c r="R99" t="s">
        <v>317</v>
      </c>
      <c r="S99" t="s">
        <v>318</v>
      </c>
      <c r="T99" t="s">
        <v>318</v>
      </c>
      <c r="U99" t="s">
        <v>260</v>
      </c>
      <c r="V99" s="4" t="s">
        <v>319</v>
      </c>
      <c r="W99">
        <v>760</v>
      </c>
      <c r="X99" s="6" t="s">
        <v>262</v>
      </c>
      <c r="Y99" t="s">
        <v>320</v>
      </c>
    </row>
    <row r="100" spans="1:25" x14ac:dyDescent="0.2">
      <c r="A100">
        <v>47</v>
      </c>
      <c r="B100" t="s">
        <v>54</v>
      </c>
      <c r="C100">
        <v>905.85491856702697</v>
      </c>
      <c r="D100">
        <v>1.73024525814012</v>
      </c>
      <c r="E100">
        <v>940.37765620155199</v>
      </c>
      <c r="F100">
        <v>468.01130236807199</v>
      </c>
      <c r="G100">
        <v>3.81106697407309</v>
      </c>
      <c r="H100">
        <v>26948.841785074401</v>
      </c>
      <c r="I100" t="s">
        <v>9</v>
      </c>
      <c r="J100" t="s">
        <v>9</v>
      </c>
      <c r="L100">
        <v>159</v>
      </c>
      <c r="M100">
        <f>G100*-1</f>
        <v>-3.81106697407309</v>
      </c>
      <c r="N100">
        <v>82</v>
      </c>
      <c r="O100" t="s">
        <v>54</v>
      </c>
      <c r="P100" t="s">
        <v>54</v>
      </c>
      <c r="Q100" s="5" t="s">
        <v>418</v>
      </c>
      <c r="R100" t="s">
        <v>258</v>
      </c>
      <c r="S100" t="s">
        <v>419</v>
      </c>
      <c r="T100" t="s">
        <v>419</v>
      </c>
      <c r="U100" t="s">
        <v>260</v>
      </c>
      <c r="V100" s="4" t="s">
        <v>419</v>
      </c>
      <c r="W100">
        <v>2167</v>
      </c>
      <c r="X100" s="6" t="s">
        <v>262</v>
      </c>
      <c r="Y100" t="s">
        <v>420</v>
      </c>
    </row>
    <row r="101" spans="1:25" x14ac:dyDescent="0.2">
      <c r="A101">
        <v>95</v>
      </c>
      <c r="B101" t="s">
        <v>102</v>
      </c>
      <c r="C101">
        <v>917.47580042567597</v>
      </c>
      <c r="D101">
        <v>0.75012356270728198</v>
      </c>
      <c r="E101">
        <v>936.52640468995401</v>
      </c>
      <c r="F101">
        <v>468.11782208134701</v>
      </c>
      <c r="G101">
        <v>2.07641490439747</v>
      </c>
      <c r="H101">
        <v>62305.428299286599</v>
      </c>
      <c r="I101" t="s">
        <v>9</v>
      </c>
      <c r="J101" t="s">
        <v>9</v>
      </c>
      <c r="L101">
        <v>141</v>
      </c>
      <c r="M101">
        <f>G101*-1</f>
        <v>-2.07641490439747</v>
      </c>
      <c r="N101">
        <v>100</v>
      </c>
      <c r="O101" t="s">
        <v>102</v>
      </c>
      <c r="P101" s="11" t="s">
        <v>102</v>
      </c>
      <c r="Q101" s="5" t="s">
        <v>102</v>
      </c>
      <c r="R101" t="s">
        <v>276</v>
      </c>
      <c r="S101" t="s">
        <v>277</v>
      </c>
      <c r="T101" t="s">
        <v>277</v>
      </c>
      <c r="U101" t="s">
        <v>260</v>
      </c>
      <c r="V101" s="4" t="s">
        <v>278</v>
      </c>
      <c r="W101">
        <v>124</v>
      </c>
      <c r="X101" s="6" t="s">
        <v>262</v>
      </c>
      <c r="Y101" t="s">
        <v>279</v>
      </c>
    </row>
    <row r="102" spans="1:25" x14ac:dyDescent="0.2">
      <c r="A102">
        <v>28</v>
      </c>
      <c r="B102" t="s">
        <v>35</v>
      </c>
      <c r="C102">
        <v>905.61181559162105</v>
      </c>
      <c r="D102">
        <v>1.3640666440125699</v>
      </c>
      <c r="E102">
        <v>939.21112140183698</v>
      </c>
      <c r="F102">
        <v>469.10015434617799</v>
      </c>
      <c r="G102">
        <v>3.7101222876897202</v>
      </c>
      <c r="H102">
        <v>34289.826655848803</v>
      </c>
      <c r="I102" t="s">
        <v>9</v>
      </c>
      <c r="J102" t="s">
        <v>9</v>
      </c>
      <c r="L102">
        <v>156</v>
      </c>
      <c r="M102">
        <f>G102*-1</f>
        <v>-3.7101222876897202</v>
      </c>
      <c r="N102">
        <v>85</v>
      </c>
      <c r="O102" t="s">
        <v>35</v>
      </c>
      <c r="P102" s="11" t="s">
        <v>35</v>
      </c>
      <c r="Q102" s="5" t="s">
        <v>35</v>
      </c>
      <c r="R102" t="s">
        <v>368</v>
      </c>
      <c r="S102" t="s">
        <v>377</v>
      </c>
      <c r="T102" t="s">
        <v>377</v>
      </c>
      <c r="U102" t="s">
        <v>260</v>
      </c>
      <c r="V102" s="4" t="s">
        <v>377</v>
      </c>
      <c r="W102">
        <v>1559</v>
      </c>
      <c r="X102" s="6" t="s">
        <v>262</v>
      </c>
      <c r="Y102" t="s">
        <v>378</v>
      </c>
    </row>
    <row r="103" spans="1:25" x14ac:dyDescent="0.2">
      <c r="A103">
        <v>30</v>
      </c>
      <c r="B103" t="s">
        <v>37</v>
      </c>
      <c r="C103">
        <v>915.684691940211</v>
      </c>
      <c r="D103">
        <v>1.8066809256557801</v>
      </c>
      <c r="E103">
        <v>964.63787808857103</v>
      </c>
      <c r="F103">
        <v>470.41585544842502</v>
      </c>
      <c r="G103">
        <v>5.3460745362723197</v>
      </c>
      <c r="H103">
        <v>25937.572477147602</v>
      </c>
      <c r="I103" t="s">
        <v>9</v>
      </c>
      <c r="J103" t="s">
        <v>9</v>
      </c>
      <c r="L103">
        <v>170</v>
      </c>
      <c r="M103">
        <f>G103*-1</f>
        <v>-5.3460745362723197</v>
      </c>
      <c r="N103">
        <v>71</v>
      </c>
      <c r="O103" t="s">
        <v>37</v>
      </c>
      <c r="P103" s="11" t="s">
        <v>37</v>
      </c>
      <c r="Q103" s="5" t="s">
        <v>37</v>
      </c>
      <c r="R103" t="s">
        <v>276</v>
      </c>
      <c r="S103" t="s">
        <v>280</v>
      </c>
      <c r="T103" t="s">
        <v>280</v>
      </c>
      <c r="U103" t="s">
        <v>260</v>
      </c>
      <c r="V103" s="4" t="s">
        <v>280</v>
      </c>
      <c r="W103">
        <v>231</v>
      </c>
      <c r="X103" s="6" t="s">
        <v>262</v>
      </c>
      <c r="Y103" t="s">
        <v>281</v>
      </c>
    </row>
    <row r="104" spans="1:25" x14ac:dyDescent="0.2">
      <c r="A104">
        <v>26</v>
      </c>
      <c r="B104" t="s">
        <v>33</v>
      </c>
      <c r="C104">
        <v>911.34428861699598</v>
      </c>
      <c r="D104">
        <v>1.62219998685157</v>
      </c>
      <c r="E104">
        <v>963.91002247573397</v>
      </c>
      <c r="F104">
        <v>472.27168156727203</v>
      </c>
      <c r="G104">
        <v>5.7679336465155497</v>
      </c>
      <c r="H104">
        <v>29013.036949524001</v>
      </c>
      <c r="I104" t="s">
        <v>9</v>
      </c>
      <c r="J104" t="s">
        <v>9</v>
      </c>
      <c r="L104">
        <v>173</v>
      </c>
      <c r="M104">
        <f>G104*-1</f>
        <v>-5.7679336465155497</v>
      </c>
      <c r="N104">
        <v>68</v>
      </c>
      <c r="O104" t="s">
        <v>33</v>
      </c>
      <c r="P104" s="11" t="s">
        <v>645</v>
      </c>
      <c r="Q104" s="5" t="s">
        <v>645</v>
      </c>
      <c r="R104" t="s">
        <v>361</v>
      </c>
      <c r="S104" t="s">
        <v>506</v>
      </c>
      <c r="T104" t="s">
        <v>506</v>
      </c>
      <c r="U104" t="s">
        <v>260</v>
      </c>
      <c r="V104" s="4" t="s">
        <v>646</v>
      </c>
      <c r="W104">
        <v>7498</v>
      </c>
      <c r="X104" s="6" t="s">
        <v>262</v>
      </c>
      <c r="Y104" t="s">
        <v>647</v>
      </c>
    </row>
    <row r="105" spans="1:25" x14ac:dyDescent="0.2">
      <c r="A105">
        <v>42</v>
      </c>
      <c r="B105" t="s">
        <v>49</v>
      </c>
      <c r="C105">
        <v>918.03141835195004</v>
      </c>
      <c r="D105">
        <v>2.7186947206503498</v>
      </c>
      <c r="E105">
        <v>924.49219391371798</v>
      </c>
      <c r="F105">
        <v>473.744344256327</v>
      </c>
      <c r="G105">
        <v>0.70376410138189405</v>
      </c>
      <c r="H105">
        <v>17325.433633938901</v>
      </c>
      <c r="I105" t="s">
        <v>9</v>
      </c>
      <c r="J105" s="1">
        <v>1.2560282170989401E-5</v>
      </c>
      <c r="L105">
        <v>130</v>
      </c>
      <c r="M105">
        <f>G105*-1</f>
        <v>-0.70376410138189405</v>
      </c>
      <c r="N105">
        <v>111</v>
      </c>
      <c r="O105" t="s">
        <v>49</v>
      </c>
      <c r="P105" s="11" t="s">
        <v>49</v>
      </c>
      <c r="Q105" s="5" t="s">
        <v>49</v>
      </c>
      <c r="R105" t="s">
        <v>276</v>
      </c>
      <c r="S105" t="s">
        <v>373</v>
      </c>
      <c r="T105" t="s">
        <v>373</v>
      </c>
      <c r="U105" t="s">
        <v>260</v>
      </c>
      <c r="V105" s="4" t="s">
        <v>373</v>
      </c>
      <c r="W105">
        <v>1588</v>
      </c>
      <c r="X105" s="6" t="s">
        <v>262</v>
      </c>
      <c r="Y105" t="s">
        <v>374</v>
      </c>
    </row>
    <row r="106" spans="1:25" ht="16" customHeight="1" x14ac:dyDescent="0.2">
      <c r="A106">
        <v>90</v>
      </c>
      <c r="B106" s="5" t="s">
        <v>97</v>
      </c>
      <c r="C106">
        <v>918.80230833727705</v>
      </c>
      <c r="D106">
        <v>1.03552152533432</v>
      </c>
      <c r="E106">
        <v>934.305490613026</v>
      </c>
      <c r="F106">
        <v>473.78163161098502</v>
      </c>
      <c r="G106">
        <v>1.68732513349958</v>
      </c>
      <c r="H106">
        <v>45652.948636970301</v>
      </c>
      <c r="I106" t="s">
        <v>9</v>
      </c>
      <c r="J106" t="s">
        <v>9</v>
      </c>
      <c r="L106">
        <v>139</v>
      </c>
      <c r="M106">
        <f>G106*-1</f>
        <v>-1.68732513349958</v>
      </c>
      <c r="N106">
        <v>102</v>
      </c>
      <c r="O106" s="5" t="s">
        <v>97</v>
      </c>
      <c r="P106" s="5" t="s">
        <v>97</v>
      </c>
      <c r="Q106" s="5" t="s">
        <v>433</v>
      </c>
      <c r="R106" t="s">
        <v>434</v>
      </c>
      <c r="S106" t="s">
        <v>435</v>
      </c>
      <c r="T106" t="s">
        <v>435</v>
      </c>
      <c r="U106" t="s">
        <v>260</v>
      </c>
      <c r="V106" s="4" t="s">
        <v>436</v>
      </c>
      <c r="W106">
        <v>2746</v>
      </c>
      <c r="X106" s="6" t="s">
        <v>262</v>
      </c>
      <c r="Y106" t="s">
        <v>437</v>
      </c>
    </row>
    <row r="107" spans="1:25" x14ac:dyDescent="0.2">
      <c r="A107">
        <v>82</v>
      </c>
      <c r="B107" t="s">
        <v>89</v>
      </c>
      <c r="C107">
        <v>922.95971916047597</v>
      </c>
      <c r="D107">
        <v>0.99651174311783597</v>
      </c>
      <c r="E107">
        <v>946.62542367292599</v>
      </c>
      <c r="F107">
        <v>476.37087689337397</v>
      </c>
      <c r="G107">
        <v>2.56411022292242</v>
      </c>
      <c r="H107">
        <v>47703.839762382398</v>
      </c>
      <c r="I107" t="s">
        <v>9</v>
      </c>
      <c r="J107" t="s">
        <v>9</v>
      </c>
      <c r="L107">
        <v>144</v>
      </c>
      <c r="M107">
        <f>G107*-1</f>
        <v>-2.56411022292242</v>
      </c>
      <c r="N107">
        <v>97</v>
      </c>
      <c r="O107" t="s">
        <v>89</v>
      </c>
      <c r="P107" s="11" t="s">
        <v>89</v>
      </c>
      <c r="Q107" s="5" t="s">
        <v>89</v>
      </c>
      <c r="R107" t="s">
        <v>445</v>
      </c>
      <c r="S107" t="s">
        <v>677</v>
      </c>
      <c r="T107" t="s">
        <v>677</v>
      </c>
      <c r="U107" t="s">
        <v>260</v>
      </c>
      <c r="V107" s="4" t="s">
        <v>675</v>
      </c>
      <c r="W107">
        <v>6524</v>
      </c>
      <c r="X107" s="6" t="s">
        <v>262</v>
      </c>
      <c r="Y107" t="s">
        <v>676</v>
      </c>
    </row>
    <row r="108" spans="1:25" x14ac:dyDescent="0.2">
      <c r="A108">
        <v>97</v>
      </c>
      <c r="B108" t="s">
        <v>104</v>
      </c>
      <c r="C108">
        <v>918.99640554505504</v>
      </c>
      <c r="D108">
        <v>0.91477375019992901</v>
      </c>
      <c r="E108">
        <v>960.63953921253596</v>
      </c>
      <c r="F108">
        <v>479.294036608216</v>
      </c>
      <c r="G108">
        <v>4.5313706796036897</v>
      </c>
      <c r="H108">
        <v>52294.817462073399</v>
      </c>
      <c r="I108" t="s">
        <v>9</v>
      </c>
      <c r="J108" t="s">
        <v>9</v>
      </c>
      <c r="L108">
        <v>163</v>
      </c>
      <c r="M108">
        <f>G108*-1</f>
        <v>-4.5313706796036897</v>
      </c>
      <c r="N108">
        <v>78</v>
      </c>
      <c r="O108" t="s">
        <v>104</v>
      </c>
      <c r="P108" s="11" t="s">
        <v>104</v>
      </c>
      <c r="Q108" s="5" t="s">
        <v>104</v>
      </c>
      <c r="R108" t="s">
        <v>299</v>
      </c>
      <c r="S108" t="s">
        <v>428</v>
      </c>
      <c r="T108" t="s">
        <v>428</v>
      </c>
      <c r="U108" t="s">
        <v>260</v>
      </c>
      <c r="V108" s="4"/>
      <c r="X108" s="6" t="s">
        <v>262</v>
      </c>
    </row>
    <row r="109" spans="1:25" x14ac:dyDescent="0.2">
      <c r="A109">
        <v>44</v>
      </c>
      <c r="B109" t="s">
        <v>51</v>
      </c>
      <c r="C109">
        <v>909.31425124078203</v>
      </c>
      <c r="D109">
        <v>1.1726576015251799</v>
      </c>
      <c r="E109">
        <v>906.48091897113704</v>
      </c>
      <c r="F109">
        <v>480.69975795800502</v>
      </c>
      <c r="G109">
        <v>-0.311589999362615</v>
      </c>
      <c r="H109">
        <v>40892.337177774403</v>
      </c>
      <c r="I109" t="s">
        <v>9</v>
      </c>
      <c r="J109" t="s">
        <v>9</v>
      </c>
      <c r="L109">
        <v>127</v>
      </c>
      <c r="M109">
        <f>G109*-1</f>
        <v>0.311589999362615</v>
      </c>
      <c r="N109">
        <v>114</v>
      </c>
      <c r="O109" t="s">
        <v>51</v>
      </c>
      <c r="P109" s="11" t="s">
        <v>51</v>
      </c>
      <c r="Q109" s="5" t="s">
        <v>51</v>
      </c>
      <c r="R109" t="s">
        <v>299</v>
      </c>
      <c r="S109" t="s">
        <v>351</v>
      </c>
      <c r="T109" t="s">
        <v>351</v>
      </c>
      <c r="U109" t="s">
        <v>260</v>
      </c>
      <c r="V109" s="4" t="s">
        <v>352</v>
      </c>
      <c r="W109">
        <v>4512</v>
      </c>
      <c r="X109" s="6" t="s">
        <v>262</v>
      </c>
      <c r="Y109" t="s">
        <v>353</v>
      </c>
    </row>
    <row r="110" spans="1:25" x14ac:dyDescent="0.2">
      <c r="A110">
        <v>20</v>
      </c>
      <c r="B110" t="s">
        <v>27</v>
      </c>
      <c r="C110">
        <v>532.69652904197005</v>
      </c>
      <c r="D110">
        <v>169.088115760373</v>
      </c>
      <c r="E110">
        <v>543.72224066478805</v>
      </c>
      <c r="F110">
        <v>485.23866336389801</v>
      </c>
      <c r="G110">
        <v>2.06979227791249</v>
      </c>
      <c r="H110">
        <v>186.97384271025001</v>
      </c>
      <c r="I110" s="1">
        <v>1.0844488692858599E-7</v>
      </c>
      <c r="J110" t="s">
        <v>9</v>
      </c>
      <c r="L110">
        <v>140</v>
      </c>
      <c r="M110">
        <f>G110*-1</f>
        <v>-2.06979227791249</v>
      </c>
      <c r="N110">
        <v>101</v>
      </c>
      <c r="O110" t="s">
        <v>27</v>
      </c>
      <c r="P110" s="12" t="s">
        <v>717</v>
      </c>
      <c r="Q110" s="9" t="s">
        <v>717</v>
      </c>
      <c r="R110" s="8" t="s">
        <v>361</v>
      </c>
      <c r="S110" s="8" t="s">
        <v>718</v>
      </c>
      <c r="T110" s="8" t="s">
        <v>718</v>
      </c>
      <c r="U110" s="8" t="s">
        <v>364</v>
      </c>
      <c r="V110" s="10" t="s">
        <v>718</v>
      </c>
      <c r="W110" s="8">
        <v>7298</v>
      </c>
      <c r="X110" s="8" t="s">
        <v>262</v>
      </c>
      <c r="Y110" s="8" t="s">
        <v>719</v>
      </c>
    </row>
    <row r="111" spans="1:25" x14ac:dyDescent="0.2">
      <c r="A111">
        <v>34</v>
      </c>
      <c r="B111" t="s">
        <v>41</v>
      </c>
      <c r="C111">
        <v>906.69269575602095</v>
      </c>
      <c r="D111">
        <v>1.8948705300277</v>
      </c>
      <c r="E111">
        <v>947.58994751497505</v>
      </c>
      <c r="F111">
        <v>485.81669135538698</v>
      </c>
      <c r="G111">
        <v>4.5105968042296301</v>
      </c>
      <c r="H111">
        <v>25538.5163870951</v>
      </c>
      <c r="I111" t="s">
        <v>9</v>
      </c>
      <c r="J111" t="s">
        <v>9</v>
      </c>
      <c r="L111">
        <v>162</v>
      </c>
      <c r="M111">
        <f>G111*-1</f>
        <v>-4.5105968042296301</v>
      </c>
      <c r="N111">
        <v>79</v>
      </c>
      <c r="O111" t="s">
        <v>41</v>
      </c>
      <c r="P111" s="11" t="s">
        <v>730</v>
      </c>
      <c r="Q111" s="5" t="s">
        <v>730</v>
      </c>
      <c r="R111" t="s">
        <v>303</v>
      </c>
      <c r="S111" t="s">
        <v>729</v>
      </c>
      <c r="T111" t="s">
        <v>729</v>
      </c>
      <c r="U111" t="s">
        <v>260</v>
      </c>
      <c r="V111" s="4"/>
      <c r="X111" s="6" t="s">
        <v>262</v>
      </c>
    </row>
    <row r="112" spans="1:25" ht="16" customHeight="1" x14ac:dyDescent="0.2">
      <c r="A112">
        <v>37</v>
      </c>
      <c r="B112" t="s">
        <v>44</v>
      </c>
      <c r="C112">
        <v>911.40129946885997</v>
      </c>
      <c r="D112">
        <v>1.48311687381809</v>
      </c>
      <c r="E112">
        <v>924.23267363409104</v>
      </c>
      <c r="F112">
        <v>487.95770099901</v>
      </c>
      <c r="G112">
        <v>1.40787314794358</v>
      </c>
      <c r="H112">
        <v>32800.8259303819</v>
      </c>
      <c r="I112" t="s">
        <v>9</v>
      </c>
      <c r="J112" t="s">
        <v>9</v>
      </c>
      <c r="L112">
        <v>137</v>
      </c>
      <c r="M112">
        <f>G112*-1</f>
        <v>-1.40787314794358</v>
      </c>
      <c r="N112">
        <v>104</v>
      </c>
      <c r="O112" t="s">
        <v>44</v>
      </c>
      <c r="P112" s="11" t="s">
        <v>481</v>
      </c>
      <c r="Q112" s="5" t="s">
        <v>481</v>
      </c>
      <c r="R112" t="s">
        <v>414</v>
      </c>
      <c r="S112" t="s">
        <v>478</v>
      </c>
      <c r="T112" t="s">
        <v>478</v>
      </c>
      <c r="U112" t="s">
        <v>260</v>
      </c>
      <c r="V112" s="4" t="s">
        <v>479</v>
      </c>
      <c r="W112">
        <v>3098</v>
      </c>
      <c r="X112" s="6" t="s">
        <v>262</v>
      </c>
      <c r="Y112" t="s">
        <v>480</v>
      </c>
    </row>
    <row r="113" spans="1:25" x14ac:dyDescent="0.2">
      <c r="A113">
        <v>75</v>
      </c>
      <c r="B113" t="s">
        <v>82</v>
      </c>
      <c r="C113">
        <v>929.46240800180101</v>
      </c>
      <c r="D113">
        <v>0.85705950507711004</v>
      </c>
      <c r="E113">
        <v>958.53669620759604</v>
      </c>
      <c r="F113">
        <v>492.13015715978798</v>
      </c>
      <c r="G113">
        <v>3.12807575169187</v>
      </c>
      <c r="H113">
        <v>57320.7688316239</v>
      </c>
      <c r="I113" t="s">
        <v>9</v>
      </c>
      <c r="J113" t="s">
        <v>9</v>
      </c>
      <c r="L113">
        <v>153</v>
      </c>
      <c r="M113">
        <f>G113*-1</f>
        <v>-3.12807575169187</v>
      </c>
      <c r="N113">
        <v>88</v>
      </c>
      <c r="O113" t="s">
        <v>82</v>
      </c>
      <c r="P113" s="11" t="s">
        <v>82</v>
      </c>
      <c r="Q113" s="5" t="s">
        <v>82</v>
      </c>
      <c r="R113" t="s">
        <v>299</v>
      </c>
      <c r="S113" t="s">
        <v>394</v>
      </c>
      <c r="T113" t="s">
        <v>394</v>
      </c>
      <c r="U113" t="s">
        <v>260</v>
      </c>
      <c r="V113" s="4" t="s">
        <v>395</v>
      </c>
      <c r="W113">
        <v>6715</v>
      </c>
      <c r="X113" s="6" t="s">
        <v>262</v>
      </c>
      <c r="Y113" t="s">
        <v>396</v>
      </c>
    </row>
    <row r="114" spans="1:25" x14ac:dyDescent="0.2">
      <c r="A114">
        <v>87</v>
      </c>
      <c r="B114" t="s">
        <v>94</v>
      </c>
      <c r="C114">
        <v>913.83028141296904</v>
      </c>
      <c r="D114">
        <v>24.286501571238901</v>
      </c>
      <c r="E114">
        <v>925.87463540476301</v>
      </c>
      <c r="F114">
        <v>494.62053022584502</v>
      </c>
      <c r="G114">
        <v>1.31800775666683</v>
      </c>
      <c r="H114">
        <v>1936.60674953529</v>
      </c>
      <c r="I114" s="1">
        <v>1.14605630506492E-5</v>
      </c>
      <c r="J114" t="s">
        <v>9</v>
      </c>
      <c r="L114">
        <v>136</v>
      </c>
      <c r="M114">
        <f>G114*-1</f>
        <v>-1.31800775666683</v>
      </c>
      <c r="N114">
        <v>105</v>
      </c>
      <c r="O114" t="s">
        <v>94</v>
      </c>
      <c r="P114" s="11" t="s">
        <v>94</v>
      </c>
      <c r="Q114" s="5" t="s">
        <v>94</v>
      </c>
      <c r="R114" t="s">
        <v>361</v>
      </c>
      <c r="S114" t="s">
        <v>506</v>
      </c>
      <c r="T114" t="s">
        <v>506</v>
      </c>
      <c r="U114" t="s">
        <v>260</v>
      </c>
      <c r="V114" s="4" t="s">
        <v>648</v>
      </c>
      <c r="W114">
        <v>6240</v>
      </c>
      <c r="X114" s="6" t="s">
        <v>262</v>
      </c>
      <c r="Y114" t="s">
        <v>649</v>
      </c>
    </row>
    <row r="115" spans="1:25" x14ac:dyDescent="0.2">
      <c r="A115">
        <v>103</v>
      </c>
      <c r="B115" t="s">
        <v>110</v>
      </c>
      <c r="C115">
        <v>18.408079848958099</v>
      </c>
      <c r="D115">
        <v>248.41929662581799</v>
      </c>
      <c r="E115">
        <v>10.5719288566036</v>
      </c>
      <c r="F115">
        <v>496.838374044256</v>
      </c>
      <c r="G115">
        <v>-42.569084101392598</v>
      </c>
      <c r="H115">
        <v>99.999911759117197</v>
      </c>
      <c r="I115" t="e">
        <f>-Inf</f>
        <v>#NAME?</v>
      </c>
      <c r="J115" s="1">
        <v>2.2511546916744E-10</v>
      </c>
      <c r="L115">
        <v>3</v>
      </c>
      <c r="M115">
        <f>G115*-1</f>
        <v>42.569084101392598</v>
      </c>
      <c r="N115">
        <v>238</v>
      </c>
      <c r="O115" t="s">
        <v>110</v>
      </c>
      <c r="P115" s="11" t="s">
        <v>110</v>
      </c>
      <c r="Q115" s="5" t="s">
        <v>110</v>
      </c>
      <c r="R115" t="s">
        <v>361</v>
      </c>
      <c r="S115" t="s">
        <v>389</v>
      </c>
      <c r="T115" t="s">
        <v>389</v>
      </c>
      <c r="U115" t="s">
        <v>260</v>
      </c>
      <c r="V115" s="4" t="s">
        <v>389</v>
      </c>
      <c r="W115">
        <v>1719</v>
      </c>
      <c r="X115" s="6" t="s">
        <v>262</v>
      </c>
      <c r="Y115" t="s">
        <v>390</v>
      </c>
    </row>
    <row r="116" spans="1:25" x14ac:dyDescent="0.2">
      <c r="A116">
        <v>3</v>
      </c>
      <c r="B116" t="s">
        <v>10</v>
      </c>
      <c r="C116">
        <v>894.91032215062603</v>
      </c>
      <c r="D116">
        <v>155.167101779554</v>
      </c>
      <c r="E116">
        <v>839.89296263079802</v>
      </c>
      <c r="F116">
        <v>505.79150759822801</v>
      </c>
      <c r="G116">
        <v>-6.1478070101606903</v>
      </c>
      <c r="H116">
        <v>225.965685894427</v>
      </c>
      <c r="I116" s="1">
        <v>6.7236516243561396E-6</v>
      </c>
      <c r="J116" s="1">
        <v>2.9388057189761999E-6</v>
      </c>
      <c r="L116">
        <v>121</v>
      </c>
      <c r="M116">
        <f>G116*-1</f>
        <v>6.1478070101606903</v>
      </c>
      <c r="N116">
        <v>120</v>
      </c>
      <c r="O116" t="s">
        <v>10</v>
      </c>
      <c r="P116" s="12" t="s">
        <v>720</v>
      </c>
      <c r="Q116" s="9" t="s">
        <v>720</v>
      </c>
      <c r="R116" s="8" t="s">
        <v>361</v>
      </c>
      <c r="S116" s="8" t="s">
        <v>721</v>
      </c>
      <c r="T116" s="8" t="s">
        <v>722</v>
      </c>
      <c r="U116" s="8" t="s">
        <v>364</v>
      </c>
      <c r="V116" s="10" t="s">
        <v>722</v>
      </c>
      <c r="W116" s="8">
        <v>7372</v>
      </c>
      <c r="X116" s="8" t="s">
        <v>262</v>
      </c>
      <c r="Y116" s="8" t="s">
        <v>723</v>
      </c>
    </row>
    <row r="117" spans="1:25" x14ac:dyDescent="0.2">
      <c r="A117">
        <v>86</v>
      </c>
      <c r="B117" t="s">
        <v>93</v>
      </c>
      <c r="C117">
        <v>959.06811105063298</v>
      </c>
      <c r="D117">
        <v>3.0185075355755302</v>
      </c>
      <c r="E117">
        <v>894.15012382874295</v>
      </c>
      <c r="F117">
        <v>508.28920393563197</v>
      </c>
      <c r="G117">
        <v>-6.7688609884833202</v>
      </c>
      <c r="H117">
        <v>16739.0901114222</v>
      </c>
      <c r="I117" t="s">
        <v>9</v>
      </c>
      <c r="J117" t="s">
        <v>9</v>
      </c>
      <c r="L117">
        <v>120</v>
      </c>
      <c r="M117">
        <f>G117*-1</f>
        <v>6.7688609884833202</v>
      </c>
      <c r="N117">
        <v>121</v>
      </c>
      <c r="O117" t="s">
        <v>93</v>
      </c>
      <c r="P117" s="11" t="s">
        <v>93</v>
      </c>
      <c r="Q117" s="5" t="s">
        <v>93</v>
      </c>
      <c r="R117" t="s">
        <v>303</v>
      </c>
      <c r="S117" t="s">
        <v>729</v>
      </c>
      <c r="T117" t="s">
        <v>729</v>
      </c>
      <c r="U117" t="s">
        <v>260</v>
      </c>
      <c r="V117" s="4"/>
      <c r="X117" s="6" t="s">
        <v>262</v>
      </c>
    </row>
    <row r="118" spans="1:25" x14ac:dyDescent="0.2">
      <c r="A118">
        <v>7</v>
      </c>
      <c r="B118" t="s">
        <v>14</v>
      </c>
      <c r="C118">
        <v>512.49315017689105</v>
      </c>
      <c r="D118">
        <v>242.632747739396</v>
      </c>
      <c r="E118">
        <v>641.46456750540597</v>
      </c>
      <c r="F118">
        <v>534.00827709902705</v>
      </c>
      <c r="G118">
        <v>25.165490950269099</v>
      </c>
      <c r="H118">
        <v>120.089119079914</v>
      </c>
      <c r="I118" s="1">
        <v>3.6198774801167403E-8</v>
      </c>
      <c r="J118" t="s">
        <v>9</v>
      </c>
      <c r="L118">
        <v>238</v>
      </c>
      <c r="M118">
        <f>G118*-1</f>
        <v>-25.165490950269099</v>
      </c>
      <c r="N118">
        <v>3</v>
      </c>
      <c r="O118" t="s">
        <v>14</v>
      </c>
      <c r="P118" s="12" t="s">
        <v>505</v>
      </c>
      <c r="Q118" s="9" t="s">
        <v>505</v>
      </c>
      <c r="R118" s="8" t="s">
        <v>361</v>
      </c>
      <c r="S118" s="8" t="s">
        <v>506</v>
      </c>
      <c r="T118" s="8" t="s">
        <v>507</v>
      </c>
      <c r="U118" s="8" t="s">
        <v>364</v>
      </c>
      <c r="V118" s="10" t="s">
        <v>508</v>
      </c>
      <c r="W118" s="8">
        <v>3614</v>
      </c>
      <c r="X118" s="8" t="s">
        <v>262</v>
      </c>
      <c r="Y118" s="8" t="s">
        <v>509</v>
      </c>
    </row>
    <row r="119" spans="1:25" x14ac:dyDescent="0.2">
      <c r="A119">
        <v>39</v>
      </c>
      <c r="B119" t="s">
        <v>46</v>
      </c>
      <c r="C119">
        <v>932.63167016957595</v>
      </c>
      <c r="D119">
        <v>1.8322779892034899</v>
      </c>
      <c r="E119">
        <v>875.79378557754706</v>
      </c>
      <c r="F119">
        <v>571.81275259420704</v>
      </c>
      <c r="G119">
        <v>-6.0943549752813597</v>
      </c>
      <c r="H119">
        <v>31107.751005227099</v>
      </c>
      <c r="I119" t="s">
        <v>9</v>
      </c>
      <c r="J119" t="s">
        <v>9</v>
      </c>
      <c r="L119">
        <v>122</v>
      </c>
      <c r="M119">
        <f>G119*-1</f>
        <v>6.0943549752813597</v>
      </c>
      <c r="N119">
        <v>119</v>
      </c>
      <c r="O119" t="s">
        <v>46</v>
      </c>
      <c r="P119" s="11" t="s">
        <v>731</v>
      </c>
      <c r="Q119" s="5" t="s">
        <v>731</v>
      </c>
      <c r="R119" t="s">
        <v>308</v>
      </c>
      <c r="S119" t="s">
        <v>729</v>
      </c>
      <c r="T119" t="s">
        <v>729</v>
      </c>
      <c r="U119" t="s">
        <v>260</v>
      </c>
      <c r="V119" s="4"/>
      <c r="X119" s="6" t="s">
        <v>262</v>
      </c>
    </row>
    <row r="120" spans="1:25" x14ac:dyDescent="0.2">
      <c r="A120">
        <v>51</v>
      </c>
      <c r="B120" t="s">
        <v>58</v>
      </c>
      <c r="C120">
        <v>416.83748479186698</v>
      </c>
      <c r="D120">
        <v>397.81474080078499</v>
      </c>
      <c r="E120">
        <v>436.981817797904</v>
      </c>
      <c r="F120">
        <v>584.52929863285499</v>
      </c>
      <c r="G120">
        <v>4.8326587077684398</v>
      </c>
      <c r="H120">
        <v>46.935052596648703</v>
      </c>
      <c r="I120" s="1">
        <v>4.0680577194196497E-8</v>
      </c>
      <c r="J120" s="1">
        <v>4.0499703049024103E-8</v>
      </c>
      <c r="L120">
        <v>165</v>
      </c>
      <c r="M120">
        <f>G120*-1</f>
        <v>-4.8326587077684398</v>
      </c>
      <c r="N120">
        <v>76</v>
      </c>
      <c r="O120" t="s">
        <v>58</v>
      </c>
      <c r="P120" s="12" t="s">
        <v>360</v>
      </c>
      <c r="Q120" s="9" t="s">
        <v>360</v>
      </c>
      <c r="R120" s="8" t="s">
        <v>361</v>
      </c>
      <c r="S120" s="8" t="s">
        <v>362</v>
      </c>
      <c r="T120" s="8" t="s">
        <v>363</v>
      </c>
      <c r="U120" s="8" t="s">
        <v>364</v>
      </c>
      <c r="V120" s="10" t="s">
        <v>365</v>
      </c>
      <c r="W120" s="8">
        <v>1503</v>
      </c>
      <c r="X120" s="6" t="s">
        <v>262</v>
      </c>
      <c r="Y120" s="8" t="s">
        <v>366</v>
      </c>
    </row>
    <row r="121" spans="1:25" x14ac:dyDescent="0.2">
      <c r="A121">
        <v>33</v>
      </c>
      <c r="B121" t="s">
        <v>40</v>
      </c>
      <c r="C121">
        <v>714.70512082959397</v>
      </c>
      <c r="D121">
        <v>280.29829658189999</v>
      </c>
      <c r="E121">
        <v>626.16814401312502</v>
      </c>
      <c r="F121">
        <v>596.05166926881395</v>
      </c>
      <c r="G121">
        <v>-12.3879029597129</v>
      </c>
      <c r="H121">
        <v>112.649051577327</v>
      </c>
      <c r="I121" s="1">
        <v>8.5475487734755695E-7</v>
      </c>
      <c r="J121" s="1">
        <v>3.2606374191816102E-7</v>
      </c>
      <c r="L121">
        <v>111</v>
      </c>
      <c r="M121">
        <f>G121*-1</f>
        <v>12.3879029597129</v>
      </c>
      <c r="N121">
        <v>130</v>
      </c>
      <c r="O121" t="s">
        <v>40</v>
      </c>
      <c r="P121" s="12" t="s">
        <v>393</v>
      </c>
      <c r="Q121" s="9" t="s">
        <v>393</v>
      </c>
      <c r="R121" s="8" t="s">
        <v>361</v>
      </c>
      <c r="S121" s="8" t="s">
        <v>391</v>
      </c>
      <c r="T121" s="8" t="s">
        <v>391</v>
      </c>
      <c r="U121" s="8" t="s">
        <v>364</v>
      </c>
      <c r="V121" s="10" t="s">
        <v>391</v>
      </c>
      <c r="W121" s="8">
        <v>1723</v>
      </c>
      <c r="X121" s="8" t="s">
        <v>262</v>
      </c>
      <c r="Y121" s="8" t="s">
        <v>392</v>
      </c>
    </row>
  </sheetData>
  <sortState xmlns:xlrd2="http://schemas.microsoft.com/office/spreadsheetml/2017/richdata2" ref="A2:Y121">
    <sortCondition ref="F2:F121"/>
  </sortState>
  <phoneticPr fontId="1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72F86-81A5-714F-BABF-D5F2E1F8888A}">
  <dimension ref="A1:Y121"/>
  <sheetViews>
    <sheetView tabSelected="1" workbookViewId="0">
      <selection activeCell="B5" sqref="B5"/>
    </sheetView>
  </sheetViews>
  <sheetFormatPr baseColWidth="10" defaultRowHeight="16" x14ac:dyDescent="0.2"/>
  <cols>
    <col min="2" max="2" width="30.5" customWidth="1"/>
    <col min="18" max="18" width="10.83203125" customWidth="1"/>
  </cols>
  <sheetData>
    <row r="1" spans="1:25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L1" t="s">
        <v>742</v>
      </c>
      <c r="N1" t="s">
        <v>743</v>
      </c>
      <c r="O1" s="2" t="s">
        <v>249</v>
      </c>
      <c r="P1" s="2" t="s">
        <v>249</v>
      </c>
      <c r="Q1" s="2" t="s">
        <v>249</v>
      </c>
      <c r="R1" s="3" t="s">
        <v>250</v>
      </c>
      <c r="S1" s="3" t="s">
        <v>251</v>
      </c>
      <c r="T1" s="3" t="s">
        <v>252</v>
      </c>
      <c r="U1" s="3" t="s">
        <v>252</v>
      </c>
      <c r="V1" s="4" t="s">
        <v>253</v>
      </c>
      <c r="W1" t="s">
        <v>254</v>
      </c>
      <c r="X1" t="s">
        <v>255</v>
      </c>
      <c r="Y1" t="s">
        <v>256</v>
      </c>
    </row>
    <row r="2" spans="1:25" ht="17" customHeight="1" x14ac:dyDescent="0.2">
      <c r="A2">
        <v>140</v>
      </c>
      <c r="B2" t="s">
        <v>147</v>
      </c>
      <c r="C2">
        <v>13.080195047982899</v>
      </c>
      <c r="D2">
        <v>15.5355097365407</v>
      </c>
      <c r="E2">
        <v>18.183026137341798</v>
      </c>
      <c r="F2">
        <v>85.5555555555556</v>
      </c>
      <c r="G2">
        <v>39.011888359767198</v>
      </c>
      <c r="H2">
        <v>450.70967741935499</v>
      </c>
      <c r="I2" s="1">
        <v>2.4817634483359299E-10</v>
      </c>
      <c r="J2" t="e">
        <f>-Inf</f>
        <v>#NAME?</v>
      </c>
      <c r="L2">
        <v>240</v>
      </c>
      <c r="M2">
        <f>G2*-1</f>
        <v>-39.011888359767198</v>
      </c>
      <c r="N2">
        <v>1</v>
      </c>
      <c r="O2" t="s">
        <v>147</v>
      </c>
      <c r="P2" s="11" t="s">
        <v>307</v>
      </c>
      <c r="Q2" s="5" t="s">
        <v>307</v>
      </c>
      <c r="R2" t="s">
        <v>308</v>
      </c>
      <c r="S2" t="s">
        <v>309</v>
      </c>
      <c r="T2" t="s">
        <v>309</v>
      </c>
      <c r="U2" t="s">
        <v>260</v>
      </c>
      <c r="V2" s="4" t="s">
        <v>310</v>
      </c>
      <c r="W2">
        <v>516</v>
      </c>
      <c r="X2" s="6" t="s">
        <v>262</v>
      </c>
      <c r="Y2" t="s">
        <v>311</v>
      </c>
    </row>
    <row r="3" spans="1:25" x14ac:dyDescent="0.2">
      <c r="A3">
        <v>162</v>
      </c>
      <c r="B3" t="s">
        <v>169</v>
      </c>
      <c r="C3">
        <v>770.54748444928896</v>
      </c>
      <c r="D3">
        <v>38.507940838199801</v>
      </c>
      <c r="E3">
        <v>752.09086264451605</v>
      </c>
      <c r="F3">
        <v>98.628332861536293</v>
      </c>
      <c r="G3">
        <v>-2.39526079537639</v>
      </c>
      <c r="H3">
        <v>156.12466082241701</v>
      </c>
      <c r="I3" s="1">
        <v>2.5824780853906301E-7</v>
      </c>
      <c r="J3" s="1">
        <v>2.5495463487856398E-7</v>
      </c>
      <c r="L3">
        <v>125</v>
      </c>
      <c r="M3">
        <f>G3*-1</f>
        <v>2.39526079537639</v>
      </c>
      <c r="N3">
        <v>116</v>
      </c>
      <c r="O3" t="s">
        <v>169</v>
      </c>
      <c r="P3" s="11" t="s">
        <v>298</v>
      </c>
      <c r="Q3" s="5" t="s">
        <v>298</v>
      </c>
      <c r="R3" t="s">
        <v>299</v>
      </c>
      <c r="S3" t="s">
        <v>300</v>
      </c>
      <c r="T3" t="s">
        <v>300</v>
      </c>
      <c r="U3" t="s">
        <v>260</v>
      </c>
      <c r="V3" s="4" t="s">
        <v>301</v>
      </c>
      <c r="W3">
        <v>1071</v>
      </c>
      <c r="X3" s="6" t="s">
        <v>262</v>
      </c>
      <c r="Y3" t="s">
        <v>302</v>
      </c>
    </row>
    <row r="4" spans="1:25" x14ac:dyDescent="0.2">
      <c r="A4">
        <v>181</v>
      </c>
      <c r="B4" t="s">
        <v>188</v>
      </c>
      <c r="C4">
        <v>134.075091353407</v>
      </c>
      <c r="D4">
        <v>139.89877728888999</v>
      </c>
      <c r="E4">
        <v>169.240155733546</v>
      </c>
      <c r="F4">
        <v>228.24414811932601</v>
      </c>
      <c r="G4">
        <v>26.227887689777901</v>
      </c>
      <c r="H4">
        <v>63.149494614955501</v>
      </c>
      <c r="I4" s="1">
        <v>2.2632223201891199E-9</v>
      </c>
      <c r="J4" s="1">
        <v>2.9118710243355499E-9</v>
      </c>
      <c r="L4">
        <v>239</v>
      </c>
      <c r="M4">
        <f>G4*-1</f>
        <v>-26.227887689777901</v>
      </c>
      <c r="N4">
        <v>2</v>
      </c>
      <c r="O4" t="s">
        <v>188</v>
      </c>
      <c r="P4" s="11" t="s">
        <v>397</v>
      </c>
      <c r="Q4" s="5" t="s">
        <v>397</v>
      </c>
      <c r="R4" t="s">
        <v>398</v>
      </c>
      <c r="S4" t="s">
        <v>399</v>
      </c>
      <c r="T4" t="s">
        <v>399</v>
      </c>
      <c r="U4" t="s">
        <v>260</v>
      </c>
      <c r="V4" s="4" t="s">
        <v>400</v>
      </c>
      <c r="W4">
        <v>5434</v>
      </c>
      <c r="X4" s="6" t="s">
        <v>262</v>
      </c>
      <c r="Y4" t="s">
        <v>401</v>
      </c>
    </row>
    <row r="5" spans="1:25" ht="17" customHeight="1" x14ac:dyDescent="0.2">
      <c r="A5">
        <v>172</v>
      </c>
      <c r="B5" t="s">
        <v>179</v>
      </c>
      <c r="C5">
        <v>360.77965076997498</v>
      </c>
      <c r="D5">
        <v>16.481782926914399</v>
      </c>
      <c r="E5">
        <v>360.646577145354</v>
      </c>
      <c r="F5">
        <v>252.94960188339499</v>
      </c>
      <c r="G5">
        <v>-3.6885013979426499E-2</v>
      </c>
      <c r="H5">
        <v>1434.7223234589101</v>
      </c>
      <c r="I5" s="1">
        <v>2.1928295714302502E-8</v>
      </c>
      <c r="J5" s="1">
        <v>2.74484255181989E-8</v>
      </c>
      <c r="L5">
        <v>128</v>
      </c>
      <c r="M5">
        <f>G5*-1</f>
        <v>3.6885013979426499E-2</v>
      </c>
      <c r="N5">
        <v>113</v>
      </c>
      <c r="O5" t="s">
        <v>179</v>
      </c>
      <c r="P5" s="11" t="s">
        <v>179</v>
      </c>
      <c r="Q5" s="5" t="s">
        <v>179</v>
      </c>
      <c r="R5" t="s">
        <v>406</v>
      </c>
      <c r="S5" t="s">
        <v>664</v>
      </c>
      <c r="T5" t="s">
        <v>664</v>
      </c>
      <c r="U5" t="s">
        <v>260</v>
      </c>
      <c r="V5" s="4" t="s">
        <v>665</v>
      </c>
      <c r="W5">
        <v>487</v>
      </c>
      <c r="X5" s="6" t="s">
        <v>262</v>
      </c>
      <c r="Y5" t="s">
        <v>666</v>
      </c>
    </row>
    <row r="6" spans="1:25" x14ac:dyDescent="0.2">
      <c r="A6">
        <v>197</v>
      </c>
      <c r="B6" t="s">
        <v>204</v>
      </c>
      <c r="C6">
        <v>260.43243405651702</v>
      </c>
      <c r="D6">
        <v>109.697600836726</v>
      </c>
      <c r="E6">
        <v>229.15827176413299</v>
      </c>
      <c r="F6">
        <v>261.44621206262599</v>
      </c>
      <c r="G6">
        <v>-12.008551241200999</v>
      </c>
      <c r="H6">
        <v>138.333573449581</v>
      </c>
      <c r="I6" s="1">
        <v>7.1990668958672E-9</v>
      </c>
      <c r="J6" s="1">
        <v>6.2611983098518503E-9</v>
      </c>
      <c r="L6">
        <v>113</v>
      </c>
      <c r="M6">
        <f>G6*-1</f>
        <v>12.008551241200999</v>
      </c>
      <c r="N6">
        <v>128</v>
      </c>
      <c r="O6" t="s">
        <v>204</v>
      </c>
      <c r="P6" s="11" t="s">
        <v>204</v>
      </c>
      <c r="Q6" s="5" t="s">
        <v>204</v>
      </c>
      <c r="R6" t="s">
        <v>303</v>
      </c>
      <c r="S6" t="s">
        <v>714</v>
      </c>
      <c r="T6" t="s">
        <v>714</v>
      </c>
      <c r="U6" t="s">
        <v>260</v>
      </c>
      <c r="V6" s="4" t="s">
        <v>715</v>
      </c>
      <c r="W6">
        <v>7296</v>
      </c>
      <c r="X6" s="6" t="s">
        <v>262</v>
      </c>
      <c r="Y6" t="s">
        <v>716</v>
      </c>
    </row>
    <row r="7" spans="1:25" x14ac:dyDescent="0.2">
      <c r="A7">
        <v>241</v>
      </c>
      <c r="B7" t="s">
        <v>248</v>
      </c>
      <c r="C7">
        <v>427.08889178405201</v>
      </c>
      <c r="D7">
        <v>38.117261207634797</v>
      </c>
      <c r="E7">
        <v>370.58961980461203</v>
      </c>
      <c r="F7">
        <v>261.89790097982302</v>
      </c>
      <c r="G7">
        <v>-13.228925656068601</v>
      </c>
      <c r="H7">
        <v>587.08478175595098</v>
      </c>
      <c r="I7" s="1">
        <v>1.1813036110856001E-8</v>
      </c>
      <c r="J7" s="1">
        <v>1.1417247621184101E-8</v>
      </c>
      <c r="L7">
        <v>105</v>
      </c>
      <c r="M7">
        <f>G7*-1</f>
        <v>13.228925656068601</v>
      </c>
      <c r="N7">
        <v>136</v>
      </c>
      <c r="O7" t="s">
        <v>248</v>
      </c>
      <c r="P7" s="11" t="s">
        <v>429</v>
      </c>
      <c r="Q7" s="5" t="s">
        <v>429</v>
      </c>
      <c r="R7" t="s">
        <v>430</v>
      </c>
      <c r="S7" t="s">
        <v>431</v>
      </c>
      <c r="T7" t="s">
        <v>431</v>
      </c>
      <c r="U7" t="s">
        <v>260</v>
      </c>
      <c r="V7" s="4" t="s">
        <v>431</v>
      </c>
      <c r="W7">
        <v>2618</v>
      </c>
      <c r="X7" s="6" t="s">
        <v>262</v>
      </c>
      <c r="Y7" t="s">
        <v>432</v>
      </c>
    </row>
    <row r="8" spans="1:25" x14ac:dyDescent="0.2">
      <c r="A8">
        <v>189</v>
      </c>
      <c r="B8" t="s">
        <v>196</v>
      </c>
      <c r="C8">
        <v>308.48284299893498</v>
      </c>
      <c r="D8">
        <v>43.455060837551301</v>
      </c>
      <c r="E8">
        <v>206.43686017241001</v>
      </c>
      <c r="F8">
        <v>263.396631747117</v>
      </c>
      <c r="G8">
        <v>-33.0799540857696</v>
      </c>
      <c r="H8">
        <v>506.13568746751201</v>
      </c>
      <c r="I8" s="1">
        <v>1.37959778481152E-8</v>
      </c>
      <c r="J8" s="1">
        <v>5.5612649887509899E-9</v>
      </c>
      <c r="L8">
        <v>12</v>
      </c>
      <c r="M8">
        <f>G8*-1</f>
        <v>33.0799540857696</v>
      </c>
      <c r="N8">
        <v>229</v>
      </c>
      <c r="O8" t="s">
        <v>196</v>
      </c>
      <c r="P8" s="11" t="s">
        <v>404</v>
      </c>
      <c r="Q8" s="5" t="s">
        <v>404</v>
      </c>
      <c r="R8" t="s">
        <v>398</v>
      </c>
      <c r="S8" t="s">
        <v>399</v>
      </c>
      <c r="T8" t="s">
        <v>399</v>
      </c>
      <c r="U8" t="s">
        <v>260</v>
      </c>
      <c r="V8" s="4" t="s">
        <v>402</v>
      </c>
      <c r="W8">
        <v>203068</v>
      </c>
      <c r="X8" s="6" t="s">
        <v>262</v>
      </c>
      <c r="Y8" t="s">
        <v>403</v>
      </c>
    </row>
    <row r="9" spans="1:25" x14ac:dyDescent="0.2">
      <c r="A9">
        <v>184</v>
      </c>
      <c r="B9" t="s">
        <v>191</v>
      </c>
      <c r="C9">
        <v>373.01286807295099</v>
      </c>
      <c r="D9">
        <v>53.702535158766501</v>
      </c>
      <c r="E9">
        <v>322.92899365232103</v>
      </c>
      <c r="F9">
        <v>298.49795947624102</v>
      </c>
      <c r="G9">
        <v>-13.4268489661958</v>
      </c>
      <c r="H9">
        <v>455.835881106469</v>
      </c>
      <c r="I9" s="1">
        <v>2.5017731306754901E-8</v>
      </c>
      <c r="J9" s="1">
        <v>2.3656760509669701E-8</v>
      </c>
      <c r="L9">
        <v>103</v>
      </c>
      <c r="M9">
        <f>G9*-1</f>
        <v>13.4268489661958</v>
      </c>
      <c r="N9">
        <v>138</v>
      </c>
      <c r="O9" t="s">
        <v>191</v>
      </c>
      <c r="P9" s="11" t="s">
        <v>191</v>
      </c>
      <c r="Q9" s="5" t="s">
        <v>191</v>
      </c>
      <c r="R9" t="s">
        <v>258</v>
      </c>
      <c r="S9" t="s">
        <v>522</v>
      </c>
      <c r="T9" t="s">
        <v>522</v>
      </c>
      <c r="U9" t="s">
        <v>260</v>
      </c>
      <c r="V9" s="4" t="s">
        <v>523</v>
      </c>
      <c r="W9">
        <v>2081</v>
      </c>
      <c r="X9" s="6" t="s">
        <v>262</v>
      </c>
      <c r="Y9" t="s">
        <v>524</v>
      </c>
    </row>
    <row r="10" spans="1:25" x14ac:dyDescent="0.2">
      <c r="A10">
        <v>147</v>
      </c>
      <c r="B10" t="s">
        <v>154</v>
      </c>
      <c r="C10">
        <v>811.24587276012596</v>
      </c>
      <c r="D10">
        <v>14.8343443569582</v>
      </c>
      <c r="E10">
        <v>729.71975969022401</v>
      </c>
      <c r="F10">
        <v>303.0477408584</v>
      </c>
      <c r="G10">
        <v>-10.049494956753801</v>
      </c>
      <c r="H10">
        <v>1942.8792373034801</v>
      </c>
      <c r="I10" s="1">
        <v>7.6448395747400301E-7</v>
      </c>
      <c r="J10" s="1">
        <v>7.6662370726711398E-7</v>
      </c>
      <c r="L10">
        <v>117</v>
      </c>
      <c r="M10">
        <f>G10*-1</f>
        <v>10.049494956753801</v>
      </c>
      <c r="N10">
        <v>124</v>
      </c>
      <c r="O10" t="s">
        <v>154</v>
      </c>
      <c r="P10" s="11" t="s">
        <v>154</v>
      </c>
      <c r="Q10" s="5" t="s">
        <v>154</v>
      </c>
      <c r="R10" t="s">
        <v>308</v>
      </c>
      <c r="S10" t="s">
        <v>330</v>
      </c>
      <c r="T10" t="s">
        <v>330</v>
      </c>
      <c r="U10" t="s">
        <v>260</v>
      </c>
      <c r="V10" s="4" t="s">
        <v>331</v>
      </c>
      <c r="W10">
        <v>4719</v>
      </c>
      <c r="X10" s="6" t="s">
        <v>262</v>
      </c>
      <c r="Y10" t="s">
        <v>332</v>
      </c>
    </row>
    <row r="11" spans="1:25" x14ac:dyDescent="0.2">
      <c r="A11">
        <v>199</v>
      </c>
      <c r="B11" t="s">
        <v>206</v>
      </c>
      <c r="C11">
        <v>590.96501936355401</v>
      </c>
      <c r="D11">
        <v>13.5213574410219</v>
      </c>
      <c r="E11">
        <v>463.00273771038098</v>
      </c>
      <c r="F11">
        <v>348.055377200691</v>
      </c>
      <c r="G11">
        <v>-21.653105930192599</v>
      </c>
      <c r="H11">
        <v>2474.11564422325</v>
      </c>
      <c r="I11" s="1">
        <v>1.6978956401582199E-7</v>
      </c>
      <c r="J11" s="1">
        <v>1.14017983123449E-7</v>
      </c>
      <c r="L11">
        <v>58</v>
      </c>
      <c r="M11">
        <f>G11*-1</f>
        <v>21.653105930192599</v>
      </c>
      <c r="N11">
        <v>183</v>
      </c>
      <c r="O11" t="s">
        <v>206</v>
      </c>
      <c r="P11" s="11" t="s">
        <v>596</v>
      </c>
      <c r="Q11" s="5" t="s">
        <v>596</v>
      </c>
      <c r="R11" t="s">
        <v>406</v>
      </c>
      <c r="S11" t="s">
        <v>595</v>
      </c>
      <c r="T11" t="s">
        <v>595</v>
      </c>
      <c r="U11" t="s">
        <v>260</v>
      </c>
      <c r="V11" s="4" t="s">
        <v>592</v>
      </c>
      <c r="W11">
        <v>7415</v>
      </c>
      <c r="X11" s="6" t="s">
        <v>262</v>
      </c>
      <c r="Y11" t="s">
        <v>593</v>
      </c>
    </row>
    <row r="12" spans="1:25" x14ac:dyDescent="0.2">
      <c r="A12">
        <v>211</v>
      </c>
      <c r="B12" t="s">
        <v>218</v>
      </c>
      <c r="C12">
        <v>610.477623636879</v>
      </c>
      <c r="D12">
        <v>12.594823491702</v>
      </c>
      <c r="E12">
        <v>560.82259871051201</v>
      </c>
      <c r="F12">
        <v>372.62652744142099</v>
      </c>
      <c r="G12">
        <v>-8.1337993406785696</v>
      </c>
      <c r="H12">
        <v>2858.5688730526799</v>
      </c>
      <c r="I12" s="1">
        <v>2.2930530154013E-7</v>
      </c>
      <c r="J12" s="1">
        <v>1.6026900969821799E-7</v>
      </c>
      <c r="L12">
        <v>119</v>
      </c>
      <c r="M12">
        <f>G12*-1</f>
        <v>8.1337993406785696</v>
      </c>
      <c r="N12">
        <v>122</v>
      </c>
      <c r="O12" t="s">
        <v>218</v>
      </c>
      <c r="P12" s="11" t="s">
        <v>218</v>
      </c>
      <c r="Q12" s="5" t="s">
        <v>218</v>
      </c>
      <c r="R12" t="s">
        <v>406</v>
      </c>
      <c r="S12" t="s">
        <v>613</v>
      </c>
      <c r="T12" t="s">
        <v>613</v>
      </c>
      <c r="U12" t="s">
        <v>260</v>
      </c>
      <c r="V12" s="4" t="s">
        <v>614</v>
      </c>
      <c r="W12">
        <v>64714</v>
      </c>
      <c r="X12" s="6" t="s">
        <v>262</v>
      </c>
      <c r="Y12" t="s">
        <v>615</v>
      </c>
    </row>
    <row r="13" spans="1:25" ht="16" customHeight="1" x14ac:dyDescent="0.2">
      <c r="A13">
        <v>203</v>
      </c>
      <c r="B13" t="s">
        <v>210</v>
      </c>
      <c r="C13">
        <v>1058.9879830626701</v>
      </c>
      <c r="D13">
        <v>2.7537947083492802</v>
      </c>
      <c r="E13">
        <v>1087.9756059507099</v>
      </c>
      <c r="F13">
        <v>388.12529925067201</v>
      </c>
      <c r="G13">
        <v>2.7372947900889502</v>
      </c>
      <c r="H13">
        <v>13994.1987459671</v>
      </c>
      <c r="I13" t="s">
        <v>9</v>
      </c>
      <c r="J13" t="s">
        <v>9</v>
      </c>
      <c r="L13">
        <v>148</v>
      </c>
      <c r="M13">
        <f>G13*-1</f>
        <v>-2.7372947900889502</v>
      </c>
      <c r="N13">
        <v>93</v>
      </c>
      <c r="O13" t="s">
        <v>210</v>
      </c>
      <c r="P13" s="11" t="s">
        <v>443</v>
      </c>
      <c r="Q13" s="5" t="s">
        <v>443</v>
      </c>
      <c r="R13" t="s">
        <v>434</v>
      </c>
      <c r="S13" t="s">
        <v>441</v>
      </c>
      <c r="T13" t="s">
        <v>441</v>
      </c>
      <c r="U13" t="s">
        <v>260</v>
      </c>
      <c r="V13" s="4" t="s">
        <v>441</v>
      </c>
      <c r="W13">
        <v>2744</v>
      </c>
      <c r="X13" s="6" t="s">
        <v>262</v>
      </c>
      <c r="Y13" t="s">
        <v>442</v>
      </c>
    </row>
    <row r="14" spans="1:25" x14ac:dyDescent="0.2">
      <c r="A14">
        <v>240</v>
      </c>
      <c r="B14" t="s">
        <v>247</v>
      </c>
      <c r="C14">
        <v>545.74589767832094</v>
      </c>
      <c r="D14">
        <v>20.698565609164</v>
      </c>
      <c r="E14">
        <v>459.13819613196199</v>
      </c>
      <c r="F14">
        <v>399.544030313321</v>
      </c>
      <c r="G14">
        <v>-15.8696019365058</v>
      </c>
      <c r="H14">
        <v>1830.29815619894</v>
      </c>
      <c r="I14" s="1">
        <v>1.3925883869786799E-7</v>
      </c>
      <c r="J14" s="1">
        <v>2.0362339079915299E-7</v>
      </c>
      <c r="L14">
        <v>92</v>
      </c>
      <c r="M14">
        <f>G14*-1</f>
        <v>15.8696019365058</v>
      </c>
      <c r="N14">
        <v>149</v>
      </c>
      <c r="O14" t="s">
        <v>247</v>
      </c>
      <c r="P14" t="s">
        <v>247</v>
      </c>
      <c r="Q14" s="5" t="s">
        <v>247</v>
      </c>
      <c r="R14" t="s">
        <v>406</v>
      </c>
      <c r="S14" t="s">
        <v>591</v>
      </c>
      <c r="T14" t="s">
        <v>591</v>
      </c>
      <c r="U14" t="s">
        <v>260</v>
      </c>
      <c r="V14" s="4" t="s">
        <v>592</v>
      </c>
      <c r="W14">
        <v>7415</v>
      </c>
      <c r="X14" s="6" t="s">
        <v>262</v>
      </c>
      <c r="Y14" t="s">
        <v>593</v>
      </c>
    </row>
    <row r="15" spans="1:25" x14ac:dyDescent="0.2">
      <c r="A15">
        <v>185</v>
      </c>
      <c r="B15" t="s">
        <v>192</v>
      </c>
      <c r="C15">
        <v>436.33158578812203</v>
      </c>
      <c r="D15">
        <v>9.4707573494285295</v>
      </c>
      <c r="E15">
        <v>287.28912828488501</v>
      </c>
      <c r="F15">
        <v>425.41831307157798</v>
      </c>
      <c r="G15">
        <v>-34.1580720621062</v>
      </c>
      <c r="H15">
        <v>4391.9143989814902</v>
      </c>
      <c r="I15" s="1">
        <v>4.4069366055344497E-8</v>
      </c>
      <c r="J15" s="1">
        <v>1.1829381052540299E-8</v>
      </c>
      <c r="L15">
        <v>9</v>
      </c>
      <c r="M15">
        <f>G15*-1</f>
        <v>34.1580720621062</v>
      </c>
      <c r="N15">
        <v>232</v>
      </c>
      <c r="O15" t="s">
        <v>192</v>
      </c>
      <c r="P15" s="11" t="s">
        <v>192</v>
      </c>
      <c r="Q15" s="5" t="s">
        <v>192</v>
      </c>
      <c r="R15" t="s">
        <v>398</v>
      </c>
      <c r="S15" t="s">
        <v>399</v>
      </c>
      <c r="T15" t="s">
        <v>399</v>
      </c>
      <c r="U15" t="s">
        <v>260</v>
      </c>
      <c r="V15" s="4" t="s">
        <v>402</v>
      </c>
      <c r="W15">
        <v>203068</v>
      </c>
      <c r="X15" s="6" t="s">
        <v>262</v>
      </c>
      <c r="Y15" t="s">
        <v>403</v>
      </c>
    </row>
    <row r="16" spans="1:25" x14ac:dyDescent="0.2">
      <c r="A16">
        <v>236</v>
      </c>
      <c r="B16" t="s">
        <v>243</v>
      </c>
      <c r="C16">
        <v>599.00174055063599</v>
      </c>
      <c r="D16">
        <v>36.5921360664139</v>
      </c>
      <c r="E16">
        <v>480.93104181431897</v>
      </c>
      <c r="F16">
        <v>444.942477553115</v>
      </c>
      <c r="G16">
        <v>-19.711244683158998</v>
      </c>
      <c r="H16">
        <v>1115.95109054457</v>
      </c>
      <c r="I16" s="1">
        <v>2.5606773456545101E-7</v>
      </c>
      <c r="J16" s="1">
        <v>2.7605049886493001E-7</v>
      </c>
      <c r="L16">
        <v>67</v>
      </c>
      <c r="M16">
        <f>G16*-1</f>
        <v>19.711244683158998</v>
      </c>
      <c r="N16">
        <v>174</v>
      </c>
      <c r="O16" t="s">
        <v>243</v>
      </c>
      <c r="P16" t="s">
        <v>243</v>
      </c>
      <c r="Q16" s="5" t="s">
        <v>458</v>
      </c>
      <c r="R16" t="s">
        <v>303</v>
      </c>
      <c r="S16" t="s">
        <v>456</v>
      </c>
      <c r="T16" t="s">
        <v>456</v>
      </c>
      <c r="U16" t="s">
        <v>260</v>
      </c>
      <c r="V16" s="4" t="s">
        <v>456</v>
      </c>
      <c r="W16">
        <v>2879</v>
      </c>
      <c r="X16" s="6" t="s">
        <v>262</v>
      </c>
      <c r="Y16" t="s">
        <v>457</v>
      </c>
    </row>
    <row r="17" spans="1:25" ht="16" customHeight="1" x14ac:dyDescent="0.2">
      <c r="A17">
        <v>171</v>
      </c>
      <c r="B17" t="s">
        <v>178</v>
      </c>
      <c r="C17">
        <v>663.051509868415</v>
      </c>
      <c r="D17">
        <v>9.2457423629576994</v>
      </c>
      <c r="E17">
        <v>463.28370740272601</v>
      </c>
      <c r="F17">
        <v>466.03959338839297</v>
      </c>
      <c r="G17">
        <v>-30.128549515758301</v>
      </c>
      <c r="H17">
        <v>4940.5859810191396</v>
      </c>
      <c r="I17" s="1">
        <v>6.2370314125149596E-7</v>
      </c>
      <c r="J17" s="1">
        <v>1.34395710895703E-7</v>
      </c>
      <c r="L17">
        <v>22</v>
      </c>
      <c r="M17">
        <f>G17*-1</f>
        <v>30.128549515758301</v>
      </c>
      <c r="N17">
        <v>219</v>
      </c>
      <c r="O17" t="s">
        <v>178</v>
      </c>
      <c r="P17" s="11" t="s">
        <v>178</v>
      </c>
      <c r="Q17" s="5" t="s">
        <v>178</v>
      </c>
      <c r="R17" t="s">
        <v>406</v>
      </c>
      <c r="S17" t="s">
        <v>452</v>
      </c>
      <c r="T17" t="s">
        <v>452</v>
      </c>
      <c r="U17" t="s">
        <v>260</v>
      </c>
      <c r="V17" s="4" t="s">
        <v>453</v>
      </c>
      <c r="W17">
        <v>79158</v>
      </c>
      <c r="X17" s="6" t="s">
        <v>262</v>
      </c>
      <c r="Y17" t="s">
        <v>454</v>
      </c>
    </row>
    <row r="18" spans="1:25" x14ac:dyDescent="0.2">
      <c r="A18">
        <v>221</v>
      </c>
      <c r="B18" t="s">
        <v>228</v>
      </c>
      <c r="C18">
        <v>827.65936057325803</v>
      </c>
      <c r="D18">
        <v>12.411991506263099</v>
      </c>
      <c r="E18">
        <v>732.04949847379396</v>
      </c>
      <c r="F18">
        <v>472.47379936851002</v>
      </c>
      <c r="G18">
        <v>-11.551837223618501</v>
      </c>
      <c r="H18">
        <v>3706.5913848724199</v>
      </c>
      <c r="I18" t="s">
        <v>9</v>
      </c>
      <c r="J18" t="s">
        <v>9</v>
      </c>
      <c r="L18">
        <v>115</v>
      </c>
      <c r="M18">
        <f>G18*-1</f>
        <v>11.551837223618501</v>
      </c>
      <c r="N18">
        <v>126</v>
      </c>
      <c r="O18" t="s">
        <v>228</v>
      </c>
      <c r="P18" s="11" t="s">
        <v>267</v>
      </c>
      <c r="Q18" s="5" t="s">
        <v>267</v>
      </c>
      <c r="R18" t="s">
        <v>258</v>
      </c>
      <c r="S18" t="s">
        <v>268</v>
      </c>
      <c r="T18" t="s">
        <v>268</v>
      </c>
      <c r="U18" t="s">
        <v>260</v>
      </c>
      <c r="V18" s="4" t="s">
        <v>269</v>
      </c>
      <c r="W18">
        <v>31</v>
      </c>
      <c r="X18" s="6" t="s">
        <v>262</v>
      </c>
      <c r="Y18" t="s">
        <v>270</v>
      </c>
    </row>
    <row r="19" spans="1:25" x14ac:dyDescent="0.2">
      <c r="A19">
        <v>198</v>
      </c>
      <c r="B19" t="s">
        <v>205</v>
      </c>
      <c r="C19">
        <v>763.68029821329901</v>
      </c>
      <c r="D19">
        <v>6.0733588165091703</v>
      </c>
      <c r="E19">
        <v>652.03201674854404</v>
      </c>
      <c r="F19">
        <v>504.59519186271302</v>
      </c>
      <c r="G19">
        <v>-14.619767162511099</v>
      </c>
      <c r="H19">
        <v>8208.3382212010201</v>
      </c>
      <c r="I19" s="1">
        <v>1.9325449165452199E-6</v>
      </c>
      <c r="J19" s="1">
        <v>1.16629834620747E-6</v>
      </c>
      <c r="L19">
        <v>100</v>
      </c>
      <c r="M19">
        <f>G19*-1</f>
        <v>14.619767162511099</v>
      </c>
      <c r="N19">
        <v>141</v>
      </c>
      <c r="O19" t="s">
        <v>205</v>
      </c>
      <c r="P19" s="11" t="s">
        <v>455</v>
      </c>
      <c r="Q19" s="5" t="s">
        <v>455</v>
      </c>
      <c r="R19" t="s">
        <v>303</v>
      </c>
      <c r="S19" t="s">
        <v>456</v>
      </c>
      <c r="T19" t="s">
        <v>456</v>
      </c>
      <c r="U19" t="s">
        <v>260</v>
      </c>
      <c r="V19" s="4" t="s">
        <v>456</v>
      </c>
      <c r="W19">
        <v>2879</v>
      </c>
      <c r="X19" s="6" t="s">
        <v>262</v>
      </c>
      <c r="Y19" t="s">
        <v>457</v>
      </c>
    </row>
    <row r="20" spans="1:25" x14ac:dyDescent="0.2">
      <c r="A20">
        <v>210</v>
      </c>
      <c r="B20" t="s">
        <v>217</v>
      </c>
      <c r="C20">
        <v>926.97587956191296</v>
      </c>
      <c r="D20">
        <v>13.264207404372801</v>
      </c>
      <c r="E20">
        <v>819.27832445054196</v>
      </c>
      <c r="F20">
        <v>517.59630958079299</v>
      </c>
      <c r="G20">
        <v>-11.6181615386011</v>
      </c>
      <c r="H20">
        <v>3802.2030778119101</v>
      </c>
      <c r="I20" s="1">
        <v>6.8900151081959402E-6</v>
      </c>
      <c r="J20" s="1">
        <v>4.8625422193201399E-6</v>
      </c>
      <c r="L20">
        <v>114</v>
      </c>
      <c r="M20">
        <f>G20*-1</f>
        <v>11.6181615386011</v>
      </c>
      <c r="N20">
        <v>127</v>
      </c>
      <c r="O20" t="s">
        <v>217</v>
      </c>
      <c r="P20" s="11" t="s">
        <v>217</v>
      </c>
      <c r="Q20" s="5" t="s">
        <v>217</v>
      </c>
      <c r="R20" t="s">
        <v>303</v>
      </c>
      <c r="S20" t="s">
        <v>304</v>
      </c>
      <c r="T20" t="s">
        <v>304</v>
      </c>
      <c r="U20" t="s">
        <v>260</v>
      </c>
      <c r="V20" s="4" t="s">
        <v>305</v>
      </c>
      <c r="W20">
        <v>54583</v>
      </c>
      <c r="X20" s="6" t="s">
        <v>262</v>
      </c>
      <c r="Y20" t="s">
        <v>306</v>
      </c>
    </row>
    <row r="21" spans="1:25" ht="17" customHeight="1" x14ac:dyDescent="0.2">
      <c r="A21">
        <v>212</v>
      </c>
      <c r="B21" t="s">
        <v>219</v>
      </c>
      <c r="C21">
        <v>943.21770489811104</v>
      </c>
      <c r="D21">
        <v>10.645448586532099</v>
      </c>
      <c r="E21">
        <v>943.32579243098598</v>
      </c>
      <c r="F21">
        <v>527.15393075098802</v>
      </c>
      <c r="G21">
        <v>1.14594469881123E-2</v>
      </c>
      <c r="H21">
        <v>4851.9184322388201</v>
      </c>
      <c r="I21" t="s">
        <v>9</v>
      </c>
      <c r="J21" t="s">
        <v>9</v>
      </c>
      <c r="L21">
        <v>129</v>
      </c>
      <c r="M21">
        <f>G21*-1</f>
        <v>-1.14594469881123E-2</v>
      </c>
      <c r="N21">
        <v>112</v>
      </c>
      <c r="O21" t="s">
        <v>219</v>
      </c>
      <c r="P21" s="11" t="s">
        <v>219</v>
      </c>
      <c r="Q21" s="5" t="s">
        <v>219</v>
      </c>
      <c r="R21" t="s">
        <v>518</v>
      </c>
      <c r="S21" t="s">
        <v>550</v>
      </c>
      <c r="T21" t="s">
        <v>550</v>
      </c>
      <c r="U21" t="s">
        <v>260</v>
      </c>
      <c r="V21" s="4" t="s">
        <v>547</v>
      </c>
      <c r="W21">
        <v>6566</v>
      </c>
      <c r="X21" s="6" t="s">
        <v>262</v>
      </c>
      <c r="Y21" t="s">
        <v>548</v>
      </c>
    </row>
    <row r="22" spans="1:25" x14ac:dyDescent="0.2">
      <c r="A22">
        <v>223</v>
      </c>
      <c r="B22" t="s">
        <v>230</v>
      </c>
      <c r="C22">
        <v>780.742007903277</v>
      </c>
      <c r="D22">
        <v>9.1405750121001006</v>
      </c>
      <c r="E22">
        <v>623.49888302617205</v>
      </c>
      <c r="F22">
        <v>541.03431295397104</v>
      </c>
      <c r="G22">
        <v>-20.140215754419302</v>
      </c>
      <c r="H22">
        <v>5819.0402380349296</v>
      </c>
      <c r="I22" s="1">
        <v>2.14363787701161E-6</v>
      </c>
      <c r="J22" s="1">
        <v>1.74181246504287E-6</v>
      </c>
      <c r="L22">
        <v>64</v>
      </c>
      <c r="M22">
        <f>G22*-1</f>
        <v>20.140215754419302</v>
      </c>
      <c r="N22">
        <v>177</v>
      </c>
      <c r="O22" t="s">
        <v>230</v>
      </c>
      <c r="P22" s="11" t="s">
        <v>551</v>
      </c>
      <c r="Q22" s="5" t="s">
        <v>551</v>
      </c>
      <c r="R22" t="s">
        <v>308</v>
      </c>
      <c r="S22" t="s">
        <v>308</v>
      </c>
      <c r="T22" t="s">
        <v>308</v>
      </c>
      <c r="U22" t="s">
        <v>260</v>
      </c>
      <c r="V22" s="4" t="s">
        <v>552</v>
      </c>
      <c r="W22">
        <v>5428</v>
      </c>
      <c r="X22" s="6" t="s">
        <v>262</v>
      </c>
      <c r="Y22" t="s">
        <v>553</v>
      </c>
    </row>
    <row r="23" spans="1:25" x14ac:dyDescent="0.2">
      <c r="A23">
        <v>141</v>
      </c>
      <c r="B23" t="s">
        <v>148</v>
      </c>
      <c r="C23">
        <v>720.80516188253205</v>
      </c>
      <c r="D23">
        <v>121.48907559260699</v>
      </c>
      <c r="E23">
        <v>592.59344958865495</v>
      </c>
      <c r="F23">
        <v>544.43196980394305</v>
      </c>
      <c r="G23">
        <v>-17.787291084185</v>
      </c>
      <c r="H23">
        <v>348.13244906859097</v>
      </c>
      <c r="I23" s="1">
        <v>7.3454282266715505E-7</v>
      </c>
      <c r="J23" s="1">
        <v>5.7028378728049297E-7</v>
      </c>
      <c r="L23">
        <v>76</v>
      </c>
      <c r="M23">
        <f>G23*-1</f>
        <v>17.787291084185</v>
      </c>
      <c r="N23">
        <v>165</v>
      </c>
      <c r="O23" t="s">
        <v>148</v>
      </c>
      <c r="P23" s="11" t="s">
        <v>148</v>
      </c>
      <c r="Q23" s="5" t="s">
        <v>148</v>
      </c>
      <c r="R23" t="s">
        <v>303</v>
      </c>
      <c r="S23" t="s">
        <v>729</v>
      </c>
      <c r="T23" t="s">
        <v>729</v>
      </c>
      <c r="U23" t="s">
        <v>260</v>
      </c>
      <c r="V23" s="4"/>
      <c r="X23" s="6" t="s">
        <v>262</v>
      </c>
    </row>
    <row r="24" spans="1:25" x14ac:dyDescent="0.2">
      <c r="A24">
        <v>166</v>
      </c>
      <c r="B24" t="s">
        <v>173</v>
      </c>
      <c r="C24">
        <v>256.13514975315201</v>
      </c>
      <c r="D24">
        <v>278.20449698788502</v>
      </c>
      <c r="E24">
        <v>213.85643835595599</v>
      </c>
      <c r="F24">
        <v>547.271113282952</v>
      </c>
      <c r="G24">
        <v>-16.506407432928398</v>
      </c>
      <c r="H24">
        <v>96.715408704117294</v>
      </c>
      <c r="I24" s="1">
        <v>7.6258651497365702E-9</v>
      </c>
      <c r="J24" s="1">
        <v>5.3951607104659197E-9</v>
      </c>
      <c r="L24">
        <v>87</v>
      </c>
      <c r="M24">
        <f>G24*-1</f>
        <v>16.506407432928398</v>
      </c>
      <c r="N24">
        <v>154</v>
      </c>
      <c r="O24" t="s">
        <v>173</v>
      </c>
      <c r="P24" s="11" t="s">
        <v>173</v>
      </c>
      <c r="Q24" s="5" t="s">
        <v>173</v>
      </c>
      <c r="R24" t="s">
        <v>361</v>
      </c>
      <c r="S24" t="s">
        <v>718</v>
      </c>
      <c r="T24" t="s">
        <v>718</v>
      </c>
      <c r="U24" t="s">
        <v>260</v>
      </c>
      <c r="V24" s="4" t="s">
        <v>718</v>
      </c>
      <c r="W24">
        <v>7298</v>
      </c>
      <c r="X24" s="6" t="s">
        <v>262</v>
      </c>
      <c r="Y24" t="s">
        <v>719</v>
      </c>
    </row>
    <row r="25" spans="1:25" x14ac:dyDescent="0.2">
      <c r="A25">
        <v>153</v>
      </c>
      <c r="B25" t="s">
        <v>160</v>
      </c>
      <c r="C25">
        <v>804.45775257330502</v>
      </c>
      <c r="D25">
        <v>30.7924445116249</v>
      </c>
      <c r="E25">
        <v>608.04435420903303</v>
      </c>
      <c r="F25">
        <v>560.720242835813</v>
      </c>
      <c r="G25">
        <v>-24.4156262694944</v>
      </c>
      <c r="H25">
        <v>1720.96696682892</v>
      </c>
      <c r="I25" s="1">
        <v>2.2014516081482098E-6</v>
      </c>
      <c r="J25" t="s">
        <v>9</v>
      </c>
      <c r="L25">
        <v>44</v>
      </c>
      <c r="M25">
        <f>G25*-1</f>
        <v>24.4156262694944</v>
      </c>
      <c r="N25">
        <v>197</v>
      </c>
      <c r="O25" t="s">
        <v>160</v>
      </c>
      <c r="P25" s="11" t="s">
        <v>561</v>
      </c>
      <c r="Q25" s="5" t="s">
        <v>561</v>
      </c>
      <c r="R25" t="s">
        <v>557</v>
      </c>
      <c r="S25" t="s">
        <v>558</v>
      </c>
      <c r="T25" t="s">
        <v>558</v>
      </c>
      <c r="U25" t="s">
        <v>260</v>
      </c>
      <c r="V25" s="4" t="s">
        <v>558</v>
      </c>
      <c r="W25">
        <v>10135</v>
      </c>
      <c r="X25" s="6" t="s">
        <v>262</v>
      </c>
      <c r="Y25" t="s">
        <v>559</v>
      </c>
    </row>
    <row r="26" spans="1:25" x14ac:dyDescent="0.2">
      <c r="A26">
        <v>227</v>
      </c>
      <c r="B26" t="s">
        <v>234</v>
      </c>
      <c r="C26">
        <v>937.09103591289102</v>
      </c>
      <c r="D26">
        <v>11.7053472790288</v>
      </c>
      <c r="E26">
        <v>792.97124039615596</v>
      </c>
      <c r="F26">
        <v>592.78342832502506</v>
      </c>
      <c r="G26">
        <v>-15.3794871569054</v>
      </c>
      <c r="H26">
        <v>4964.2105201530303</v>
      </c>
      <c r="I26" t="s">
        <v>9</v>
      </c>
      <c r="J26" t="s">
        <v>9</v>
      </c>
      <c r="L26">
        <v>97</v>
      </c>
      <c r="M26">
        <f>G26*-1</f>
        <v>15.3794871569054</v>
      </c>
      <c r="N26">
        <v>144</v>
      </c>
      <c r="O26" t="s">
        <v>234</v>
      </c>
      <c r="P26" t="s">
        <v>234</v>
      </c>
      <c r="Q26" s="5" t="s">
        <v>271</v>
      </c>
      <c r="R26" t="s">
        <v>258</v>
      </c>
      <c r="S26" t="s">
        <v>268</v>
      </c>
      <c r="T26" t="s">
        <v>268</v>
      </c>
      <c r="U26" t="s">
        <v>260</v>
      </c>
      <c r="V26" s="4" t="s">
        <v>269</v>
      </c>
      <c r="W26">
        <v>31</v>
      </c>
      <c r="X26" s="6" t="s">
        <v>262</v>
      </c>
      <c r="Y26" t="s">
        <v>270</v>
      </c>
    </row>
    <row r="27" spans="1:25" ht="16" customHeight="1" x14ac:dyDescent="0.2">
      <c r="A27">
        <v>122</v>
      </c>
      <c r="B27" t="s">
        <v>129</v>
      </c>
      <c r="C27">
        <v>525.20565928862595</v>
      </c>
      <c r="D27">
        <v>124.030459661517</v>
      </c>
      <c r="E27">
        <v>433.416814408162</v>
      </c>
      <c r="F27">
        <v>602.42611174465299</v>
      </c>
      <c r="G27">
        <v>-17.476743301812199</v>
      </c>
      <c r="H27">
        <v>385.70819892846799</v>
      </c>
      <c r="I27" s="1">
        <v>1.2070506492417601E-7</v>
      </c>
      <c r="J27" s="1">
        <v>7.9594160666261494E-8</v>
      </c>
      <c r="L27">
        <v>79</v>
      </c>
      <c r="M27">
        <f>G27*-1</f>
        <v>17.476743301812199</v>
      </c>
      <c r="N27">
        <v>162</v>
      </c>
      <c r="O27" t="s">
        <v>129</v>
      </c>
      <c r="P27" s="12" t="s">
        <v>512</v>
      </c>
      <c r="Q27" s="9" t="s">
        <v>512</v>
      </c>
      <c r="R27" s="8" t="s">
        <v>361</v>
      </c>
      <c r="S27" s="8" t="s">
        <v>511</v>
      </c>
      <c r="T27" s="8" t="s">
        <v>507</v>
      </c>
      <c r="U27" s="8" t="s">
        <v>364</v>
      </c>
      <c r="V27" s="10" t="s">
        <v>508</v>
      </c>
      <c r="W27" s="8">
        <v>3614</v>
      </c>
      <c r="X27" s="8" t="s">
        <v>262</v>
      </c>
      <c r="Y27" s="8" t="s">
        <v>509</v>
      </c>
    </row>
    <row r="28" spans="1:25" x14ac:dyDescent="0.2">
      <c r="A28">
        <v>158</v>
      </c>
      <c r="B28" t="s">
        <v>165</v>
      </c>
      <c r="C28">
        <v>501.96858131011197</v>
      </c>
      <c r="D28">
        <v>172.00671202042699</v>
      </c>
      <c r="E28">
        <v>340.27371297636898</v>
      </c>
      <c r="F28">
        <v>612.92402781090595</v>
      </c>
      <c r="G28">
        <v>-32.212149197012899</v>
      </c>
      <c r="H28">
        <v>256.33727347693002</v>
      </c>
      <c r="I28" s="1">
        <v>9.5558181757931496E-8</v>
      </c>
      <c r="J28" s="1">
        <v>2.5353924024447401E-8</v>
      </c>
      <c r="L28">
        <v>16</v>
      </c>
      <c r="M28">
        <f>G28*-1</f>
        <v>32.212149197012899</v>
      </c>
      <c r="N28">
        <v>225</v>
      </c>
      <c r="O28" t="s">
        <v>165</v>
      </c>
      <c r="P28" s="12" t="s">
        <v>165</v>
      </c>
      <c r="Q28" s="9" t="s">
        <v>165</v>
      </c>
      <c r="R28" s="8" t="s">
        <v>361</v>
      </c>
      <c r="S28" s="8" t="s">
        <v>389</v>
      </c>
      <c r="T28" s="8" t="s">
        <v>389</v>
      </c>
      <c r="U28" s="8" t="s">
        <v>364</v>
      </c>
      <c r="V28" s="10" t="s">
        <v>389</v>
      </c>
      <c r="W28" s="8">
        <v>1719</v>
      </c>
      <c r="X28" s="8" t="s">
        <v>262</v>
      </c>
      <c r="Y28" s="8" t="s">
        <v>390</v>
      </c>
    </row>
    <row r="29" spans="1:25" x14ac:dyDescent="0.2">
      <c r="A29">
        <v>149</v>
      </c>
      <c r="B29" t="s">
        <v>156</v>
      </c>
      <c r="C29">
        <v>966.642133096561</v>
      </c>
      <c r="D29">
        <v>6.1413939054102702</v>
      </c>
      <c r="E29">
        <v>767.76339982886395</v>
      </c>
      <c r="F29">
        <v>618.64273524428302</v>
      </c>
      <c r="G29">
        <v>-20.574184225821501</v>
      </c>
      <c r="H29">
        <v>9973.3277293822193</v>
      </c>
      <c r="I29" t="s">
        <v>9</v>
      </c>
      <c r="J29" t="s">
        <v>9</v>
      </c>
      <c r="L29">
        <v>62</v>
      </c>
      <c r="M29">
        <f>G29*-1</f>
        <v>20.574184225821501</v>
      </c>
      <c r="N29">
        <v>179</v>
      </c>
      <c r="O29" t="s">
        <v>156</v>
      </c>
      <c r="P29" s="11" t="s">
        <v>405</v>
      </c>
      <c r="Q29" s="5" t="s">
        <v>405</v>
      </c>
      <c r="R29" t="s">
        <v>406</v>
      </c>
      <c r="S29" t="s">
        <v>407</v>
      </c>
      <c r="T29" t="s">
        <v>407</v>
      </c>
      <c r="U29" t="s">
        <v>260</v>
      </c>
      <c r="V29" s="4" t="s">
        <v>408</v>
      </c>
      <c r="W29">
        <v>9100</v>
      </c>
      <c r="X29" s="6" t="s">
        <v>262</v>
      </c>
      <c r="Y29" t="s">
        <v>409</v>
      </c>
    </row>
    <row r="30" spans="1:25" x14ac:dyDescent="0.2">
      <c r="A30">
        <v>225</v>
      </c>
      <c r="B30" t="s">
        <v>232</v>
      </c>
      <c r="C30">
        <v>813.13023680764297</v>
      </c>
      <c r="D30">
        <v>59.051183398844401</v>
      </c>
      <c r="E30">
        <v>672.68460003188795</v>
      </c>
      <c r="F30">
        <v>628.12512394014902</v>
      </c>
      <c r="G30">
        <v>-17.272219186823701</v>
      </c>
      <c r="H30">
        <v>963.696081580037</v>
      </c>
      <c r="I30" s="1">
        <v>2.3726244937988501E-6</v>
      </c>
      <c r="J30" s="1">
        <v>2.9685513189514501E-6</v>
      </c>
      <c r="L30">
        <v>82</v>
      </c>
      <c r="M30">
        <f>G30*-1</f>
        <v>17.272219186823701</v>
      </c>
      <c r="N30">
        <v>159</v>
      </c>
      <c r="O30" t="s">
        <v>232</v>
      </c>
      <c r="P30" s="11" t="s">
        <v>232</v>
      </c>
      <c r="Q30" s="5" t="s">
        <v>232</v>
      </c>
      <c r="R30" t="s">
        <v>303</v>
      </c>
      <c r="S30" t="s">
        <v>729</v>
      </c>
      <c r="T30" t="s">
        <v>729</v>
      </c>
      <c r="U30" t="s">
        <v>260</v>
      </c>
      <c r="V30" s="4"/>
      <c r="X30" s="6" t="s">
        <v>262</v>
      </c>
    </row>
    <row r="31" spans="1:25" x14ac:dyDescent="0.2">
      <c r="A31">
        <v>204</v>
      </c>
      <c r="B31" t="s">
        <v>211</v>
      </c>
      <c r="C31">
        <v>956.164614787397</v>
      </c>
      <c r="D31">
        <v>5.06784694347445</v>
      </c>
      <c r="E31">
        <v>764.96615607455601</v>
      </c>
      <c r="F31">
        <v>635.98374797497695</v>
      </c>
      <c r="G31">
        <v>-19.996395574140099</v>
      </c>
      <c r="H31">
        <v>12449.3874433973</v>
      </c>
      <c r="I31" t="s">
        <v>9</v>
      </c>
      <c r="J31" s="1">
        <v>6.3748679348616897E-6</v>
      </c>
      <c r="L31">
        <v>65</v>
      </c>
      <c r="M31">
        <f>G31*-1</f>
        <v>19.996395574140099</v>
      </c>
      <c r="N31">
        <v>176</v>
      </c>
      <c r="O31" t="s">
        <v>211</v>
      </c>
      <c r="P31" s="11" t="s">
        <v>685</v>
      </c>
      <c r="Q31" s="5" t="s">
        <v>685</v>
      </c>
      <c r="R31" t="s">
        <v>303</v>
      </c>
      <c r="S31" t="s">
        <v>683</v>
      </c>
      <c r="T31" t="s">
        <v>683</v>
      </c>
      <c r="U31" t="s">
        <v>260</v>
      </c>
      <c r="V31" s="4" t="s">
        <v>683</v>
      </c>
      <c r="W31">
        <v>6647</v>
      </c>
      <c r="X31" s="6" t="s">
        <v>262</v>
      </c>
      <c r="Y31" t="s">
        <v>684</v>
      </c>
    </row>
    <row r="32" spans="1:25" x14ac:dyDescent="0.2">
      <c r="A32">
        <v>214</v>
      </c>
      <c r="B32" t="s">
        <v>221</v>
      </c>
      <c r="C32">
        <v>921.83589330939401</v>
      </c>
      <c r="D32">
        <v>8.7275779536352704</v>
      </c>
      <c r="E32">
        <v>795.36512304327903</v>
      </c>
      <c r="F32">
        <v>639.43914238685102</v>
      </c>
      <c r="G32">
        <v>-13.719445205380801</v>
      </c>
      <c r="H32">
        <v>7226.6505986406901</v>
      </c>
      <c r="I32" t="s">
        <v>9</v>
      </c>
      <c r="J32" t="s">
        <v>9</v>
      </c>
      <c r="L32">
        <v>102</v>
      </c>
      <c r="M32">
        <f>G32*-1</f>
        <v>13.719445205380801</v>
      </c>
      <c r="N32">
        <v>139</v>
      </c>
      <c r="O32" t="s">
        <v>221</v>
      </c>
      <c r="P32" s="11" t="s">
        <v>499</v>
      </c>
      <c r="Q32" s="5" t="s">
        <v>499</v>
      </c>
      <c r="R32" t="s">
        <v>494</v>
      </c>
      <c r="S32" t="s">
        <v>495</v>
      </c>
      <c r="T32" t="s">
        <v>495</v>
      </c>
      <c r="U32" t="s">
        <v>260</v>
      </c>
      <c r="V32" s="4" t="s">
        <v>496</v>
      </c>
      <c r="W32">
        <v>3417</v>
      </c>
      <c r="X32" s="6" t="s">
        <v>262</v>
      </c>
      <c r="Y32" t="s">
        <v>497</v>
      </c>
    </row>
    <row r="33" spans="1:25" x14ac:dyDescent="0.2">
      <c r="A33">
        <v>205</v>
      </c>
      <c r="B33" t="s">
        <v>212</v>
      </c>
      <c r="C33">
        <v>989.64549930171995</v>
      </c>
      <c r="D33">
        <v>8.0898620432830093</v>
      </c>
      <c r="E33">
        <v>859.83390700665996</v>
      </c>
      <c r="F33">
        <v>639.44676998573698</v>
      </c>
      <c r="G33">
        <v>-13.116978997696901</v>
      </c>
      <c r="H33">
        <v>7804.2975833768096</v>
      </c>
      <c r="I33" t="s">
        <v>9</v>
      </c>
      <c r="J33" t="s">
        <v>9</v>
      </c>
      <c r="L33">
        <v>106</v>
      </c>
      <c r="M33">
        <f>G33*-1</f>
        <v>13.116978997696901</v>
      </c>
      <c r="N33">
        <v>135</v>
      </c>
      <c r="O33" t="s">
        <v>212</v>
      </c>
      <c r="P33" s="11" t="s">
        <v>212</v>
      </c>
      <c r="Q33" s="5" t="s">
        <v>212</v>
      </c>
      <c r="R33" t="s">
        <v>303</v>
      </c>
      <c r="S33" t="s">
        <v>729</v>
      </c>
      <c r="T33" t="s">
        <v>729</v>
      </c>
      <c r="U33" t="s">
        <v>260</v>
      </c>
      <c r="V33" s="4"/>
      <c r="X33" s="6" t="s">
        <v>262</v>
      </c>
    </row>
    <row r="34" spans="1:25" x14ac:dyDescent="0.2">
      <c r="A34">
        <v>231</v>
      </c>
      <c r="B34" t="s">
        <v>238</v>
      </c>
      <c r="C34">
        <v>903.75877477841198</v>
      </c>
      <c r="D34">
        <v>14.0917592613661</v>
      </c>
      <c r="E34">
        <v>741.21286511786604</v>
      </c>
      <c r="F34">
        <v>639.54416175767301</v>
      </c>
      <c r="G34">
        <v>-17.985541518022799</v>
      </c>
      <c r="H34">
        <v>4438.4266782859804</v>
      </c>
      <c r="I34" s="1">
        <v>6.7467530504250997E-6</v>
      </c>
      <c r="J34" t="s">
        <v>9</v>
      </c>
      <c r="L34">
        <v>75</v>
      </c>
      <c r="M34">
        <f>G34*-1</f>
        <v>17.985541518022799</v>
      </c>
      <c r="N34">
        <v>166</v>
      </c>
      <c r="O34" t="s">
        <v>238</v>
      </c>
      <c r="P34" s="11" t="s">
        <v>410</v>
      </c>
      <c r="Q34" s="5" t="s">
        <v>410</v>
      </c>
      <c r="R34" t="s">
        <v>406</v>
      </c>
      <c r="S34" t="s">
        <v>407</v>
      </c>
      <c r="T34" t="s">
        <v>407</v>
      </c>
      <c r="U34" t="s">
        <v>260</v>
      </c>
      <c r="V34" s="4" t="s">
        <v>411</v>
      </c>
      <c r="W34">
        <v>220213</v>
      </c>
      <c r="X34" s="6" t="s">
        <v>262</v>
      </c>
      <c r="Y34" t="s">
        <v>412</v>
      </c>
    </row>
    <row r="35" spans="1:25" ht="16" customHeight="1" x14ac:dyDescent="0.2">
      <c r="A35">
        <v>218</v>
      </c>
      <c r="B35" t="s">
        <v>225</v>
      </c>
      <c r="C35">
        <v>892.04282704369302</v>
      </c>
      <c r="D35">
        <v>14.9574042861744</v>
      </c>
      <c r="E35">
        <v>736.32054821431598</v>
      </c>
      <c r="F35">
        <v>639.94387041681296</v>
      </c>
      <c r="G35">
        <v>-17.456816433965901</v>
      </c>
      <c r="H35">
        <v>4178.44202224535</v>
      </c>
      <c r="I35" s="1">
        <v>6.6145861403626303E-6</v>
      </c>
      <c r="J35" t="s">
        <v>9</v>
      </c>
      <c r="L35">
        <v>80</v>
      </c>
      <c r="M35">
        <f>G35*-1</f>
        <v>17.456816433965901</v>
      </c>
      <c r="N35">
        <v>161</v>
      </c>
      <c r="O35" t="s">
        <v>225</v>
      </c>
      <c r="P35" s="11" t="s">
        <v>597</v>
      </c>
      <c r="Q35" s="5" t="s">
        <v>597</v>
      </c>
      <c r="R35" t="s">
        <v>406</v>
      </c>
      <c r="S35" t="s">
        <v>595</v>
      </c>
      <c r="T35" t="s">
        <v>595</v>
      </c>
      <c r="U35" t="s">
        <v>260</v>
      </c>
      <c r="V35" s="4" t="s">
        <v>592</v>
      </c>
      <c r="W35">
        <v>7415</v>
      </c>
      <c r="X35" s="6" t="s">
        <v>262</v>
      </c>
      <c r="Y35" t="s">
        <v>593</v>
      </c>
    </row>
    <row r="36" spans="1:25" x14ac:dyDescent="0.2">
      <c r="A36">
        <v>232</v>
      </c>
      <c r="B36" t="s">
        <v>239</v>
      </c>
      <c r="C36">
        <v>749.86526861078698</v>
      </c>
      <c r="D36">
        <v>18.2939677201297</v>
      </c>
      <c r="E36">
        <v>632.33784978902304</v>
      </c>
      <c r="F36">
        <v>642.64438700495998</v>
      </c>
      <c r="G36">
        <v>-15.673138061121</v>
      </c>
      <c r="H36">
        <v>3412.8759208306101</v>
      </c>
      <c r="I36" s="1">
        <v>1.3118634373718499E-6</v>
      </c>
      <c r="J36" s="1">
        <v>2.2442215171667199E-6</v>
      </c>
      <c r="L36">
        <v>95</v>
      </c>
      <c r="M36">
        <f>G36*-1</f>
        <v>15.673138061121</v>
      </c>
      <c r="N36">
        <v>146</v>
      </c>
      <c r="O36" t="s">
        <v>239</v>
      </c>
      <c r="P36" t="s">
        <v>239</v>
      </c>
      <c r="Q36" s="5" t="s">
        <v>702</v>
      </c>
      <c r="R36" t="s">
        <v>258</v>
      </c>
      <c r="S36" t="s">
        <v>699</v>
      </c>
      <c r="T36" t="s">
        <v>699</v>
      </c>
      <c r="U36" t="s">
        <v>260</v>
      </c>
      <c r="V36" s="4" t="s">
        <v>700</v>
      </c>
      <c r="W36">
        <v>6720</v>
      </c>
      <c r="X36" s="6" t="s">
        <v>262</v>
      </c>
      <c r="Y36" t="s">
        <v>701</v>
      </c>
    </row>
    <row r="37" spans="1:25" x14ac:dyDescent="0.2">
      <c r="A37">
        <v>126</v>
      </c>
      <c r="B37" t="s">
        <v>133</v>
      </c>
      <c r="C37">
        <v>793.09575404425902</v>
      </c>
      <c r="D37">
        <v>12.579457902937801</v>
      </c>
      <c r="E37">
        <v>655.61087924992898</v>
      </c>
      <c r="F37">
        <v>644.10820002528203</v>
      </c>
      <c r="G37">
        <v>-17.335217606858901</v>
      </c>
      <c r="H37">
        <v>5020.3176241390702</v>
      </c>
      <c r="I37" s="1">
        <v>2.0559343389589001E-6</v>
      </c>
      <c r="J37" s="1">
        <v>1.88209758404937E-6</v>
      </c>
      <c r="L37">
        <v>81</v>
      </c>
      <c r="M37">
        <f>G37*-1</f>
        <v>17.335217606858901</v>
      </c>
      <c r="N37">
        <v>160</v>
      </c>
      <c r="O37" t="s">
        <v>133</v>
      </c>
      <c r="P37" s="11" t="s">
        <v>689</v>
      </c>
      <c r="Q37" s="5" t="s">
        <v>689</v>
      </c>
      <c r="R37" t="s">
        <v>258</v>
      </c>
      <c r="S37" t="s">
        <v>690</v>
      </c>
      <c r="T37" t="s">
        <v>690</v>
      </c>
      <c r="U37" t="s">
        <v>260</v>
      </c>
      <c r="V37" s="4" t="s">
        <v>691</v>
      </c>
      <c r="W37">
        <v>8877</v>
      </c>
      <c r="X37" s="6" t="s">
        <v>262</v>
      </c>
      <c r="Y37" t="s">
        <v>692</v>
      </c>
    </row>
    <row r="38" spans="1:25" x14ac:dyDescent="0.2">
      <c r="A38">
        <v>195</v>
      </c>
      <c r="B38" t="s">
        <v>202</v>
      </c>
      <c r="C38">
        <v>932.20035300207905</v>
      </c>
      <c r="D38">
        <v>8.6871230318839796</v>
      </c>
      <c r="E38">
        <v>814.64456008994102</v>
      </c>
      <c r="F38">
        <v>644.28616779619199</v>
      </c>
      <c r="G38">
        <v>-12.610571593709301</v>
      </c>
      <c r="H38">
        <v>7316.5654777939098</v>
      </c>
      <c r="I38" t="s">
        <v>9</v>
      </c>
      <c r="J38" t="s">
        <v>9</v>
      </c>
      <c r="L38">
        <v>108</v>
      </c>
      <c r="M38">
        <f>G38*-1</f>
        <v>12.610571593709301</v>
      </c>
      <c r="N38">
        <v>133</v>
      </c>
      <c r="O38" t="s">
        <v>202</v>
      </c>
      <c r="P38" s="11" t="s">
        <v>202</v>
      </c>
      <c r="Q38" s="5" t="s">
        <v>202</v>
      </c>
      <c r="R38" t="s">
        <v>518</v>
      </c>
      <c r="S38" t="s">
        <v>680</v>
      </c>
      <c r="T38" t="s">
        <v>680</v>
      </c>
      <c r="U38" t="s">
        <v>260</v>
      </c>
      <c r="V38" s="4" t="s">
        <v>680</v>
      </c>
      <c r="W38">
        <v>6557</v>
      </c>
      <c r="X38" s="6" t="s">
        <v>262</v>
      </c>
      <c r="Y38" t="s">
        <v>681</v>
      </c>
    </row>
    <row r="39" spans="1:25" x14ac:dyDescent="0.2">
      <c r="A39">
        <v>194</v>
      </c>
      <c r="B39" t="s">
        <v>201</v>
      </c>
      <c r="C39">
        <v>930.83542539655798</v>
      </c>
      <c r="D39">
        <v>9.9809344972657801</v>
      </c>
      <c r="E39">
        <v>827.61481637530403</v>
      </c>
      <c r="F39">
        <v>644.994780140545</v>
      </c>
      <c r="G39">
        <v>-11.0890288664379</v>
      </c>
      <c r="H39">
        <v>6362.2684410686998</v>
      </c>
      <c r="I39" t="s">
        <v>9</v>
      </c>
      <c r="J39" t="s">
        <v>9</v>
      </c>
      <c r="L39">
        <v>116</v>
      </c>
      <c r="M39">
        <f>G39*-1</f>
        <v>11.0890288664379</v>
      </c>
      <c r="N39">
        <v>125</v>
      </c>
      <c r="O39" t="s">
        <v>201</v>
      </c>
      <c r="P39" s="11" t="s">
        <v>736</v>
      </c>
      <c r="Q39" s="5" t="s">
        <v>736</v>
      </c>
      <c r="R39" t="s">
        <v>737</v>
      </c>
      <c r="S39" t="s">
        <v>729</v>
      </c>
      <c r="T39" t="s">
        <v>729</v>
      </c>
      <c r="U39" t="s">
        <v>260</v>
      </c>
      <c r="V39" s="4"/>
      <c r="X39" s="6" t="s">
        <v>262</v>
      </c>
    </row>
    <row r="40" spans="1:25" x14ac:dyDescent="0.2">
      <c r="A40">
        <v>125</v>
      </c>
      <c r="B40" t="s">
        <v>132</v>
      </c>
      <c r="C40">
        <v>939.67675122279195</v>
      </c>
      <c r="D40">
        <v>6.9532608723417404</v>
      </c>
      <c r="E40">
        <v>823.06950392592103</v>
      </c>
      <c r="F40">
        <v>646.67046563289</v>
      </c>
      <c r="G40">
        <v>-12.409293636894899</v>
      </c>
      <c r="H40">
        <v>9200.2474307440007</v>
      </c>
      <c r="I40" t="s">
        <v>9</v>
      </c>
      <c r="J40" t="s">
        <v>9</v>
      </c>
      <c r="L40">
        <v>110</v>
      </c>
      <c r="M40">
        <f>G40*-1</f>
        <v>12.409293636894899</v>
      </c>
      <c r="N40">
        <v>131</v>
      </c>
      <c r="O40" t="s">
        <v>132</v>
      </c>
      <c r="P40" s="11" t="s">
        <v>333</v>
      </c>
      <c r="Q40" s="5" t="s">
        <v>333</v>
      </c>
      <c r="R40" t="s">
        <v>308</v>
      </c>
      <c r="S40" t="s">
        <v>330</v>
      </c>
      <c r="T40" t="s">
        <v>330</v>
      </c>
      <c r="U40" t="s">
        <v>260</v>
      </c>
      <c r="V40" s="4" t="s">
        <v>331</v>
      </c>
      <c r="W40">
        <v>4719</v>
      </c>
      <c r="X40" s="6" t="s">
        <v>262</v>
      </c>
      <c r="Y40" t="s">
        <v>332</v>
      </c>
    </row>
    <row r="41" spans="1:25" x14ac:dyDescent="0.2">
      <c r="A41">
        <v>215</v>
      </c>
      <c r="B41" t="s">
        <v>222</v>
      </c>
      <c r="C41">
        <v>926.33806443216804</v>
      </c>
      <c r="D41">
        <v>8.2072349778354106</v>
      </c>
      <c r="E41">
        <v>799.04196544022602</v>
      </c>
      <c r="F41">
        <v>648.67200986392504</v>
      </c>
      <c r="G41">
        <v>-13.741862056588699</v>
      </c>
      <c r="H41">
        <v>7803.66075317374</v>
      </c>
      <c r="I41" t="s">
        <v>9</v>
      </c>
      <c r="J41" t="s">
        <v>9</v>
      </c>
      <c r="L41">
        <v>101</v>
      </c>
      <c r="M41">
        <f>G41*-1</f>
        <v>13.741862056588699</v>
      </c>
      <c r="N41">
        <v>140</v>
      </c>
      <c r="O41" t="s">
        <v>222</v>
      </c>
      <c r="P41" s="11" t="s">
        <v>222</v>
      </c>
      <c r="Q41" s="5" t="s">
        <v>222</v>
      </c>
      <c r="R41" t="s">
        <v>258</v>
      </c>
      <c r="S41" t="s">
        <v>529</v>
      </c>
      <c r="T41" t="s">
        <v>529</v>
      </c>
      <c r="U41" t="s">
        <v>260</v>
      </c>
      <c r="V41" s="4" t="s">
        <v>530</v>
      </c>
      <c r="W41">
        <v>5406</v>
      </c>
      <c r="X41" s="6" t="s">
        <v>262</v>
      </c>
      <c r="Y41" t="s">
        <v>531</v>
      </c>
    </row>
    <row r="42" spans="1:25" x14ac:dyDescent="0.2">
      <c r="A42">
        <v>217</v>
      </c>
      <c r="B42" t="s">
        <v>224</v>
      </c>
      <c r="C42">
        <v>962.10304187812903</v>
      </c>
      <c r="D42">
        <v>9.36232657302733</v>
      </c>
      <c r="E42">
        <v>839.28629914982503</v>
      </c>
      <c r="F42">
        <v>655.08640444374998</v>
      </c>
      <c r="G42">
        <v>-12.7654458392058</v>
      </c>
      <c r="H42">
        <v>6897.0471477788496</v>
      </c>
      <c r="I42" t="s">
        <v>9</v>
      </c>
      <c r="J42" t="s">
        <v>9</v>
      </c>
      <c r="L42">
        <v>107</v>
      </c>
      <c r="M42">
        <f>G42*-1</f>
        <v>12.7654458392058</v>
      </c>
      <c r="N42">
        <v>134</v>
      </c>
      <c r="O42" t="s">
        <v>224</v>
      </c>
      <c r="P42" s="11" t="s">
        <v>224</v>
      </c>
      <c r="Q42" s="5" t="s">
        <v>224</v>
      </c>
      <c r="R42" t="s">
        <v>303</v>
      </c>
      <c r="S42" t="s">
        <v>729</v>
      </c>
      <c r="T42" t="s">
        <v>729</v>
      </c>
      <c r="U42" t="s">
        <v>260</v>
      </c>
      <c r="V42" s="4"/>
      <c r="X42" s="6" t="s">
        <v>262</v>
      </c>
    </row>
    <row r="43" spans="1:25" x14ac:dyDescent="0.2">
      <c r="A43">
        <v>209</v>
      </c>
      <c r="B43" t="s">
        <v>216</v>
      </c>
      <c r="C43">
        <v>908.109764411843</v>
      </c>
      <c r="D43">
        <v>7.9393630255515601</v>
      </c>
      <c r="E43">
        <v>795.39193577687104</v>
      </c>
      <c r="F43">
        <v>656.78278907779998</v>
      </c>
      <c r="G43">
        <v>-12.4123572999984</v>
      </c>
      <c r="H43">
        <v>8172.4871877510896</v>
      </c>
      <c r="I43" t="s">
        <v>9</v>
      </c>
      <c r="J43" t="s">
        <v>9</v>
      </c>
      <c r="L43">
        <v>109</v>
      </c>
      <c r="M43">
        <f>G43*-1</f>
        <v>12.4123572999984</v>
      </c>
      <c r="N43">
        <v>132</v>
      </c>
      <c r="O43" t="s">
        <v>216</v>
      </c>
      <c r="P43" s="11" t="s">
        <v>638</v>
      </c>
      <c r="Q43" s="5" t="s">
        <v>638</v>
      </c>
      <c r="R43" t="s">
        <v>414</v>
      </c>
      <c r="S43" t="s">
        <v>637</v>
      </c>
      <c r="T43" t="s">
        <v>637</v>
      </c>
      <c r="U43" t="s">
        <v>260</v>
      </c>
      <c r="V43" s="4" t="s">
        <v>634</v>
      </c>
      <c r="W43">
        <v>5315</v>
      </c>
      <c r="X43" s="6" t="s">
        <v>262</v>
      </c>
      <c r="Y43" t="s">
        <v>635</v>
      </c>
    </row>
    <row r="44" spans="1:25" x14ac:dyDescent="0.2">
      <c r="A44">
        <v>206</v>
      </c>
      <c r="B44" t="s">
        <v>213</v>
      </c>
      <c r="C44">
        <v>922.93158322307397</v>
      </c>
      <c r="D44">
        <v>8.8707208031179601</v>
      </c>
      <c r="E44">
        <v>799.46838556923399</v>
      </c>
      <c r="F44">
        <v>659.03036067140704</v>
      </c>
      <c r="G44">
        <v>-13.3772860196939</v>
      </c>
      <c r="H44">
        <v>7329.2763271251297</v>
      </c>
      <c r="I44" t="s">
        <v>9</v>
      </c>
      <c r="J44" t="s">
        <v>9</v>
      </c>
      <c r="L44">
        <v>104</v>
      </c>
      <c r="M44">
        <f>G44*-1</f>
        <v>13.3772860196939</v>
      </c>
      <c r="N44">
        <v>137</v>
      </c>
      <c r="O44" t="s">
        <v>213</v>
      </c>
      <c r="P44" t="s">
        <v>213</v>
      </c>
      <c r="Q44" s="5" t="s">
        <v>545</v>
      </c>
      <c r="R44" t="s">
        <v>518</v>
      </c>
      <c r="S44" t="s">
        <v>546</v>
      </c>
      <c r="T44" t="s">
        <v>546</v>
      </c>
      <c r="U44" t="s">
        <v>260</v>
      </c>
      <c r="V44" s="4" t="s">
        <v>547</v>
      </c>
      <c r="W44">
        <v>6566</v>
      </c>
      <c r="X44" s="6" t="s">
        <v>262</v>
      </c>
      <c r="Y44" t="s">
        <v>548</v>
      </c>
    </row>
    <row r="45" spans="1:25" x14ac:dyDescent="0.2">
      <c r="A45">
        <v>213</v>
      </c>
      <c r="B45" t="s">
        <v>220</v>
      </c>
      <c r="C45">
        <v>950.23353218863303</v>
      </c>
      <c r="D45">
        <v>7.5742185741520203</v>
      </c>
      <c r="E45">
        <v>797.32671868038994</v>
      </c>
      <c r="F45">
        <v>659.78663337458795</v>
      </c>
      <c r="G45">
        <v>-16.091498387355301</v>
      </c>
      <c r="H45">
        <v>8610.9531751063205</v>
      </c>
      <c r="I45" t="s">
        <v>9</v>
      </c>
      <c r="J45" t="s">
        <v>9</v>
      </c>
      <c r="L45">
        <v>91</v>
      </c>
      <c r="M45">
        <f>G45*-1</f>
        <v>16.091498387355301</v>
      </c>
      <c r="N45">
        <v>150</v>
      </c>
      <c r="O45" t="s">
        <v>220</v>
      </c>
      <c r="P45" s="11" t="s">
        <v>220</v>
      </c>
      <c r="Q45" s="5" t="s">
        <v>220</v>
      </c>
      <c r="R45" t="s">
        <v>308</v>
      </c>
      <c r="S45" t="s">
        <v>525</v>
      </c>
      <c r="T45" t="s">
        <v>525</v>
      </c>
      <c r="U45" t="s">
        <v>260</v>
      </c>
      <c r="V45" s="4" t="s">
        <v>382</v>
      </c>
      <c r="X45" s="6" t="s">
        <v>262</v>
      </c>
    </row>
    <row r="46" spans="1:25" ht="16" customHeight="1" x14ac:dyDescent="0.2">
      <c r="A46">
        <v>208</v>
      </c>
      <c r="B46" t="s">
        <v>215</v>
      </c>
      <c r="C46">
        <v>945.37569092836804</v>
      </c>
      <c r="D46">
        <v>9.0578125393819793</v>
      </c>
      <c r="E46">
        <v>799.36334619258605</v>
      </c>
      <c r="F46">
        <v>662.810417327648</v>
      </c>
      <c r="G46">
        <v>-15.444901549393199</v>
      </c>
      <c r="H46">
        <v>7217.5550326952498</v>
      </c>
      <c r="I46" t="s">
        <v>9</v>
      </c>
      <c r="J46" t="s">
        <v>9</v>
      </c>
      <c r="L46">
        <v>96</v>
      </c>
      <c r="M46">
        <f>G46*-1</f>
        <v>15.444901549393199</v>
      </c>
      <c r="N46">
        <v>145</v>
      </c>
      <c r="O46" t="s">
        <v>215</v>
      </c>
      <c r="P46" s="11" t="s">
        <v>215</v>
      </c>
      <c r="Q46" s="5" t="s">
        <v>215</v>
      </c>
      <c r="R46" t="s">
        <v>303</v>
      </c>
      <c r="S46" t="s">
        <v>461</v>
      </c>
      <c r="T46" t="s">
        <v>461</v>
      </c>
      <c r="U46" t="s">
        <v>260</v>
      </c>
      <c r="V46" s="4" t="s">
        <v>382</v>
      </c>
      <c r="X46" s="6" t="s">
        <v>262</v>
      </c>
    </row>
    <row r="47" spans="1:25" x14ac:dyDescent="0.2">
      <c r="A47">
        <v>233</v>
      </c>
      <c r="B47" t="s">
        <v>240</v>
      </c>
      <c r="C47">
        <v>963.98319953355997</v>
      </c>
      <c r="D47">
        <v>11.3962655098032</v>
      </c>
      <c r="E47">
        <v>769.77430390070003</v>
      </c>
      <c r="F47">
        <v>666.06499927213599</v>
      </c>
      <c r="G47">
        <v>-20.146502109874099</v>
      </c>
      <c r="H47">
        <v>5744.59004310821</v>
      </c>
      <c r="I47" t="s">
        <v>9</v>
      </c>
      <c r="J47" t="s">
        <v>9</v>
      </c>
      <c r="L47">
        <v>63</v>
      </c>
      <c r="M47">
        <f>G47*-1</f>
        <v>20.146502109874099</v>
      </c>
      <c r="N47">
        <v>178</v>
      </c>
      <c r="O47" t="s">
        <v>240</v>
      </c>
      <c r="P47" s="11" t="s">
        <v>240</v>
      </c>
      <c r="Q47" s="5" t="s">
        <v>240</v>
      </c>
      <c r="R47" t="s">
        <v>729</v>
      </c>
      <c r="S47" t="s">
        <v>729</v>
      </c>
      <c r="T47" t="s">
        <v>729</v>
      </c>
      <c r="U47" t="s">
        <v>260</v>
      </c>
      <c r="V47" s="4"/>
      <c r="X47" s="6" t="s">
        <v>262</v>
      </c>
    </row>
    <row r="48" spans="1:25" ht="15" customHeight="1" x14ac:dyDescent="0.2">
      <c r="A48">
        <v>201</v>
      </c>
      <c r="B48" t="s">
        <v>208</v>
      </c>
      <c r="C48">
        <v>962.96635618209905</v>
      </c>
      <c r="D48">
        <v>8.6854517588191804</v>
      </c>
      <c r="E48">
        <v>810.694565427513</v>
      </c>
      <c r="F48">
        <v>670.127320469599</v>
      </c>
      <c r="G48">
        <v>-15.8127840891869</v>
      </c>
      <c r="H48">
        <v>7615.5148526287503</v>
      </c>
      <c r="I48" t="s">
        <v>9</v>
      </c>
      <c r="J48" t="s">
        <v>9</v>
      </c>
      <c r="L48">
        <v>94</v>
      </c>
      <c r="M48">
        <f>G48*-1</f>
        <v>15.8127840891869</v>
      </c>
      <c r="N48">
        <v>147</v>
      </c>
      <c r="O48" t="s">
        <v>208</v>
      </c>
      <c r="P48" s="11" t="s">
        <v>609</v>
      </c>
      <c r="Q48" s="5" t="s">
        <v>609</v>
      </c>
      <c r="R48" t="s">
        <v>308</v>
      </c>
      <c r="S48" t="s">
        <v>610</v>
      </c>
      <c r="T48" t="s">
        <v>610</v>
      </c>
      <c r="U48" t="s">
        <v>260</v>
      </c>
      <c r="V48" s="4" t="s">
        <v>611</v>
      </c>
      <c r="W48">
        <v>5160</v>
      </c>
      <c r="X48" s="6" t="s">
        <v>262</v>
      </c>
      <c r="Y48" t="s">
        <v>612</v>
      </c>
    </row>
    <row r="49" spans="1:25" x14ac:dyDescent="0.2">
      <c r="A49">
        <v>128</v>
      </c>
      <c r="B49" t="s">
        <v>135</v>
      </c>
      <c r="C49">
        <v>916.59026484387596</v>
      </c>
      <c r="D49">
        <v>8.3352737823203409</v>
      </c>
      <c r="E49">
        <v>781.55679549662796</v>
      </c>
      <c r="F49">
        <v>670.95269420647696</v>
      </c>
      <c r="G49">
        <v>-14.732151815975101</v>
      </c>
      <c r="H49">
        <v>7949.5579596870803</v>
      </c>
      <c r="I49" t="s">
        <v>9</v>
      </c>
      <c r="J49" t="s">
        <v>9</v>
      </c>
      <c r="L49">
        <v>99</v>
      </c>
      <c r="M49">
        <f>G49*-1</f>
        <v>14.732151815975101</v>
      </c>
      <c r="N49">
        <v>142</v>
      </c>
      <c r="O49" t="s">
        <v>135</v>
      </c>
      <c r="P49" s="11" t="s">
        <v>135</v>
      </c>
      <c r="Q49" s="5" t="s">
        <v>135</v>
      </c>
      <c r="R49" t="s">
        <v>303</v>
      </c>
      <c r="S49" t="s">
        <v>729</v>
      </c>
      <c r="T49" t="s">
        <v>729</v>
      </c>
      <c r="U49" t="s">
        <v>260</v>
      </c>
      <c r="V49" s="4"/>
      <c r="X49" s="6" t="s">
        <v>262</v>
      </c>
    </row>
    <row r="50" spans="1:25" x14ac:dyDescent="0.2">
      <c r="A50">
        <v>237</v>
      </c>
      <c r="B50" t="s">
        <v>244</v>
      </c>
      <c r="C50">
        <v>890.24297119116704</v>
      </c>
      <c r="D50">
        <v>23.105400860101</v>
      </c>
      <c r="E50">
        <v>712.45505620076597</v>
      </c>
      <c r="F50">
        <v>672.146771117605</v>
      </c>
      <c r="G50">
        <v>-19.970718190845801</v>
      </c>
      <c r="H50">
        <v>2809.04613682026</v>
      </c>
      <c r="I50" t="s">
        <v>9</v>
      </c>
      <c r="J50" t="s">
        <v>9</v>
      </c>
      <c r="L50">
        <v>66</v>
      </c>
      <c r="M50">
        <f>G50*-1</f>
        <v>19.970718190845801</v>
      </c>
      <c r="N50">
        <v>175</v>
      </c>
      <c r="O50" t="s">
        <v>244</v>
      </c>
      <c r="P50" s="11" t="s">
        <v>244</v>
      </c>
      <c r="Q50" s="5" t="s">
        <v>244</v>
      </c>
      <c r="R50" t="s">
        <v>258</v>
      </c>
      <c r="S50" t="s">
        <v>268</v>
      </c>
      <c r="T50" t="s">
        <v>268</v>
      </c>
      <c r="U50" t="s">
        <v>260</v>
      </c>
      <c r="V50" s="4" t="s">
        <v>269</v>
      </c>
      <c r="W50">
        <v>31</v>
      </c>
      <c r="X50" s="6" t="s">
        <v>262</v>
      </c>
      <c r="Y50" t="s">
        <v>270</v>
      </c>
    </row>
    <row r="51" spans="1:25" x14ac:dyDescent="0.2">
      <c r="A51">
        <v>216</v>
      </c>
      <c r="B51" t="s">
        <v>223</v>
      </c>
      <c r="C51">
        <v>932.63990235534095</v>
      </c>
      <c r="D51">
        <v>10.497373192458699</v>
      </c>
      <c r="E51">
        <v>780.31022122106299</v>
      </c>
      <c r="F51">
        <v>674.00656957902095</v>
      </c>
      <c r="G51">
        <v>-16.3331721867761</v>
      </c>
      <c r="H51">
        <v>6320.7164708903101</v>
      </c>
      <c r="I51" t="s">
        <v>9</v>
      </c>
      <c r="J51" t="s">
        <v>9</v>
      </c>
      <c r="L51">
        <v>88</v>
      </c>
      <c r="M51">
        <f>G51*-1</f>
        <v>16.3331721867761</v>
      </c>
      <c r="N51">
        <v>153</v>
      </c>
      <c r="O51" t="s">
        <v>223</v>
      </c>
      <c r="P51" t="s">
        <v>223</v>
      </c>
      <c r="Q51" s="5" t="s">
        <v>275</v>
      </c>
      <c r="R51" t="s">
        <v>258</v>
      </c>
      <c r="S51" t="s">
        <v>273</v>
      </c>
      <c r="T51" t="s">
        <v>273</v>
      </c>
      <c r="U51" t="s">
        <v>260</v>
      </c>
      <c r="V51" s="7" t="s">
        <v>273</v>
      </c>
      <c r="W51" s="6">
        <v>47</v>
      </c>
      <c r="X51" s="6" t="s">
        <v>262</v>
      </c>
      <c r="Y51" s="6" t="s">
        <v>274</v>
      </c>
    </row>
    <row r="52" spans="1:25" x14ac:dyDescent="0.2">
      <c r="A52">
        <v>202</v>
      </c>
      <c r="B52" t="s">
        <v>209</v>
      </c>
      <c r="C52">
        <v>934.62521559335005</v>
      </c>
      <c r="D52">
        <v>9.5042152892977096</v>
      </c>
      <c r="E52">
        <v>786.60523959013005</v>
      </c>
      <c r="F52">
        <v>675.94095165106296</v>
      </c>
      <c r="G52">
        <v>-15.837361707521399</v>
      </c>
      <c r="H52">
        <v>7012.0122080169103</v>
      </c>
      <c r="I52" t="s">
        <v>9</v>
      </c>
      <c r="J52" t="s">
        <v>9</v>
      </c>
      <c r="L52">
        <v>93</v>
      </c>
      <c r="M52">
        <f>G52*-1</f>
        <v>15.837361707521399</v>
      </c>
      <c r="N52">
        <v>148</v>
      </c>
      <c r="O52" t="s">
        <v>209</v>
      </c>
      <c r="P52" s="11" t="s">
        <v>728</v>
      </c>
      <c r="Q52" s="5" t="s">
        <v>728</v>
      </c>
      <c r="R52" t="s">
        <v>303</v>
      </c>
      <c r="S52" t="s">
        <v>729</v>
      </c>
      <c r="T52" t="s">
        <v>729</v>
      </c>
      <c r="U52" t="s">
        <v>260</v>
      </c>
      <c r="V52" s="4"/>
      <c r="X52" s="6" t="s">
        <v>262</v>
      </c>
    </row>
    <row r="53" spans="1:25" x14ac:dyDescent="0.2">
      <c r="A53">
        <v>207</v>
      </c>
      <c r="B53" t="s">
        <v>214</v>
      </c>
      <c r="C53">
        <v>939.97732410104697</v>
      </c>
      <c r="D53">
        <v>10.5282899421045</v>
      </c>
      <c r="E53">
        <v>823.95802831512106</v>
      </c>
      <c r="F53">
        <v>679.00576848356604</v>
      </c>
      <c r="G53">
        <v>-12.3427760235473</v>
      </c>
      <c r="H53">
        <v>6349.3452613619902</v>
      </c>
      <c r="I53" t="s">
        <v>9</v>
      </c>
      <c r="J53" t="s">
        <v>9</v>
      </c>
      <c r="L53">
        <v>112</v>
      </c>
      <c r="M53">
        <f>G53*-1</f>
        <v>12.3427760235473</v>
      </c>
      <c r="N53">
        <v>129</v>
      </c>
      <c r="O53" t="s">
        <v>214</v>
      </c>
      <c r="P53" s="11" t="s">
        <v>628</v>
      </c>
      <c r="Q53" s="5" t="s">
        <v>628</v>
      </c>
      <c r="R53" t="s">
        <v>629</v>
      </c>
      <c r="S53" t="s">
        <v>630</v>
      </c>
      <c r="T53" t="s">
        <v>630</v>
      </c>
      <c r="U53" t="s">
        <v>260</v>
      </c>
      <c r="V53" s="4" t="s">
        <v>630</v>
      </c>
      <c r="W53">
        <v>26227</v>
      </c>
      <c r="X53" s="6" t="s">
        <v>262</v>
      </c>
      <c r="Y53" t="s">
        <v>631</v>
      </c>
    </row>
    <row r="54" spans="1:25" ht="16" customHeight="1" x14ac:dyDescent="0.2">
      <c r="A54">
        <v>145</v>
      </c>
      <c r="B54" t="s">
        <v>152</v>
      </c>
      <c r="C54">
        <v>897.77976576188303</v>
      </c>
      <c r="D54">
        <v>9.4113010539967199</v>
      </c>
      <c r="E54">
        <v>729.32417353619303</v>
      </c>
      <c r="F54">
        <v>680.16785130508799</v>
      </c>
      <c r="G54">
        <v>-18.763576397016902</v>
      </c>
      <c r="H54">
        <v>7127.1394507801797</v>
      </c>
      <c r="I54" s="1">
        <v>1.13187186549593E-5</v>
      </c>
      <c r="J54" t="s">
        <v>9</v>
      </c>
      <c r="L54">
        <v>73</v>
      </c>
      <c r="M54">
        <f>G54*-1</f>
        <v>18.763576397016902</v>
      </c>
      <c r="N54">
        <v>168</v>
      </c>
      <c r="O54" t="s">
        <v>152</v>
      </c>
      <c r="P54" s="11" t="s">
        <v>660</v>
      </c>
      <c r="Q54" s="5" t="s">
        <v>660</v>
      </c>
      <c r="R54" t="s">
        <v>258</v>
      </c>
      <c r="S54" t="s">
        <v>661</v>
      </c>
      <c r="T54" t="s">
        <v>661</v>
      </c>
      <c r="U54" t="s">
        <v>260</v>
      </c>
      <c r="V54" s="4" t="s">
        <v>662</v>
      </c>
      <c r="W54">
        <v>6319</v>
      </c>
      <c r="X54" s="6" t="s">
        <v>262</v>
      </c>
      <c r="Y54" t="s">
        <v>663</v>
      </c>
    </row>
    <row r="55" spans="1:25" x14ac:dyDescent="0.2">
      <c r="A55">
        <v>229</v>
      </c>
      <c r="B55" t="s">
        <v>236</v>
      </c>
      <c r="C55">
        <v>932.92221454153605</v>
      </c>
      <c r="D55">
        <v>13.8127858590078</v>
      </c>
      <c r="E55">
        <v>722.60954477311702</v>
      </c>
      <c r="F55">
        <v>681.48672690494095</v>
      </c>
      <c r="G55">
        <v>-22.543430362173499</v>
      </c>
      <c r="H55">
        <v>4833.7384497314697</v>
      </c>
      <c r="I55" t="s">
        <v>9</v>
      </c>
      <c r="J55" t="s">
        <v>9</v>
      </c>
      <c r="L55">
        <v>54</v>
      </c>
      <c r="M55">
        <f>G55*-1</f>
        <v>22.543430362173499</v>
      </c>
      <c r="N55">
        <v>187</v>
      </c>
      <c r="O55" t="s">
        <v>236</v>
      </c>
      <c r="P55" s="11" t="s">
        <v>236</v>
      </c>
      <c r="Q55" s="5" t="s">
        <v>236</v>
      </c>
      <c r="R55" t="s">
        <v>625</v>
      </c>
      <c r="S55" t="s">
        <v>626</v>
      </c>
      <c r="T55" t="s">
        <v>626</v>
      </c>
      <c r="U55" t="s">
        <v>260</v>
      </c>
      <c r="V55" s="4" t="s">
        <v>626</v>
      </c>
      <c r="W55">
        <v>5226</v>
      </c>
      <c r="X55" s="6" t="s">
        <v>262</v>
      </c>
      <c r="Y55" t="s">
        <v>627</v>
      </c>
    </row>
    <row r="56" spans="1:25" x14ac:dyDescent="0.2">
      <c r="A56">
        <v>200</v>
      </c>
      <c r="B56" t="s">
        <v>207</v>
      </c>
      <c r="C56">
        <v>949.53338634925001</v>
      </c>
      <c r="D56">
        <v>8.1478590094816408</v>
      </c>
      <c r="E56">
        <v>794.50599081731696</v>
      </c>
      <c r="F56">
        <v>683.04273501843704</v>
      </c>
      <c r="G56">
        <v>-16.3266924323725</v>
      </c>
      <c r="H56">
        <v>8283.0946782901101</v>
      </c>
      <c r="I56" t="s">
        <v>9</v>
      </c>
      <c r="J56" t="s">
        <v>9</v>
      </c>
      <c r="L56">
        <v>89</v>
      </c>
      <c r="M56">
        <f>G56*-1</f>
        <v>16.3266924323725</v>
      </c>
      <c r="N56">
        <v>152</v>
      </c>
      <c r="O56" t="s">
        <v>207</v>
      </c>
      <c r="P56" s="11" t="s">
        <v>413</v>
      </c>
      <c r="Q56" s="5" t="s">
        <v>413</v>
      </c>
      <c r="R56" t="s">
        <v>414</v>
      </c>
      <c r="S56" t="s">
        <v>415</v>
      </c>
      <c r="T56" t="s">
        <v>415</v>
      </c>
      <c r="U56" t="s">
        <v>260</v>
      </c>
      <c r="V56" s="4" t="s">
        <v>416</v>
      </c>
      <c r="W56">
        <v>2023</v>
      </c>
      <c r="X56" s="6" t="s">
        <v>262</v>
      </c>
      <c r="Y56" t="s">
        <v>417</v>
      </c>
    </row>
    <row r="57" spans="1:25" ht="16" customHeight="1" x14ac:dyDescent="0.2">
      <c r="A57">
        <v>151</v>
      </c>
      <c r="B57" t="s">
        <v>158</v>
      </c>
      <c r="C57">
        <v>930.507807133965</v>
      </c>
      <c r="D57">
        <v>18.6528313104325</v>
      </c>
      <c r="E57">
        <v>675.54367789018795</v>
      </c>
      <c r="F57">
        <v>688.31409120420506</v>
      </c>
      <c r="G57">
        <v>-27.400536275895</v>
      </c>
      <c r="H57">
        <v>3590.1319684332898</v>
      </c>
      <c r="I57" t="s">
        <v>9</v>
      </c>
      <c r="J57" t="s">
        <v>9</v>
      </c>
      <c r="L57">
        <v>30</v>
      </c>
      <c r="M57">
        <f>G57*-1</f>
        <v>27.400536275895</v>
      </c>
      <c r="N57">
        <v>211</v>
      </c>
      <c r="O57" t="s">
        <v>158</v>
      </c>
      <c r="P57" s="11" t="s">
        <v>158</v>
      </c>
      <c r="Q57" s="5" t="s">
        <v>158</v>
      </c>
      <c r="R57" t="s">
        <v>308</v>
      </c>
      <c r="S57" t="s">
        <v>724</v>
      </c>
      <c r="T57" t="s">
        <v>724</v>
      </c>
      <c r="U57" t="s">
        <v>260</v>
      </c>
      <c r="V57" s="4" t="s">
        <v>725</v>
      </c>
      <c r="W57">
        <v>7350</v>
      </c>
      <c r="X57" s="6" t="s">
        <v>262</v>
      </c>
      <c r="Y57" t="s">
        <v>726</v>
      </c>
    </row>
    <row r="58" spans="1:25" x14ac:dyDescent="0.2">
      <c r="A58">
        <v>163</v>
      </c>
      <c r="B58" t="s">
        <v>170</v>
      </c>
      <c r="C58">
        <v>867.95531088752796</v>
      </c>
      <c r="D58">
        <v>16.8451172393404</v>
      </c>
      <c r="E58">
        <v>582.43459582451101</v>
      </c>
      <c r="F58">
        <v>689.68787688875898</v>
      </c>
      <c r="G58">
        <v>-32.895785241645399</v>
      </c>
      <c r="H58">
        <v>3994.28956230739</v>
      </c>
      <c r="I58" s="1">
        <v>4.11577143103855E-6</v>
      </c>
      <c r="J58" t="s">
        <v>9</v>
      </c>
      <c r="L58">
        <v>13</v>
      </c>
      <c r="M58">
        <f>G58*-1</f>
        <v>32.895785241645399</v>
      </c>
      <c r="N58">
        <v>228</v>
      </c>
      <c r="O58" t="s">
        <v>170</v>
      </c>
      <c r="P58" s="11" t="s">
        <v>693</v>
      </c>
      <c r="Q58" s="5" t="s">
        <v>693</v>
      </c>
      <c r="R58" t="s">
        <v>258</v>
      </c>
      <c r="S58" t="s">
        <v>690</v>
      </c>
      <c r="T58" t="s">
        <v>690</v>
      </c>
      <c r="U58" t="s">
        <v>260</v>
      </c>
      <c r="V58" s="4" t="s">
        <v>691</v>
      </c>
      <c r="W58">
        <v>8877</v>
      </c>
      <c r="X58" s="6" t="s">
        <v>262</v>
      </c>
      <c r="Y58" t="s">
        <v>692</v>
      </c>
    </row>
    <row r="59" spans="1:25" x14ac:dyDescent="0.2">
      <c r="A59">
        <v>133</v>
      </c>
      <c r="B59" t="s">
        <v>140</v>
      </c>
      <c r="C59">
        <v>899.47156796786203</v>
      </c>
      <c r="D59">
        <v>10.471415257662199</v>
      </c>
      <c r="E59">
        <v>732.95383193320799</v>
      </c>
      <c r="F59">
        <v>690.64539055727698</v>
      </c>
      <c r="G59">
        <v>-18.5128404237235</v>
      </c>
      <c r="H59">
        <v>6495.5305330090396</v>
      </c>
      <c r="I59" s="1">
        <v>6.4173657734910097E-6</v>
      </c>
      <c r="J59" s="1">
        <v>5.8932932654148399E-6</v>
      </c>
      <c r="L59">
        <v>74</v>
      </c>
      <c r="M59">
        <f>G59*-1</f>
        <v>18.5128404237235</v>
      </c>
      <c r="N59">
        <v>167</v>
      </c>
      <c r="O59" t="s">
        <v>140</v>
      </c>
      <c r="P59" s="11" t="s">
        <v>140</v>
      </c>
      <c r="Q59" s="5" t="s">
        <v>140</v>
      </c>
      <c r="R59" t="s">
        <v>303</v>
      </c>
      <c r="S59" t="s">
        <v>468</v>
      </c>
      <c r="T59" t="s">
        <v>468</v>
      </c>
      <c r="U59" t="s">
        <v>260</v>
      </c>
      <c r="V59" s="4" t="s">
        <v>469</v>
      </c>
      <c r="W59">
        <v>2950</v>
      </c>
      <c r="X59" s="6" t="s">
        <v>262</v>
      </c>
      <c r="Y59" t="s">
        <v>470</v>
      </c>
    </row>
    <row r="60" spans="1:25" x14ac:dyDescent="0.2">
      <c r="A60">
        <v>224</v>
      </c>
      <c r="B60" t="s">
        <v>231</v>
      </c>
      <c r="C60">
        <v>925.98109932713896</v>
      </c>
      <c r="D60">
        <v>14.636466785267</v>
      </c>
      <c r="E60">
        <v>715.55110039344697</v>
      </c>
      <c r="F60">
        <v>691.97788828853402</v>
      </c>
      <c r="G60">
        <v>-22.725085758942701</v>
      </c>
      <c r="H60">
        <v>4627.7659181044601</v>
      </c>
      <c r="I60" t="s">
        <v>9</v>
      </c>
      <c r="J60" t="s">
        <v>9</v>
      </c>
      <c r="L60">
        <v>53</v>
      </c>
      <c r="M60">
        <f>G60*-1</f>
        <v>22.725085758942701</v>
      </c>
      <c r="N60">
        <v>188</v>
      </c>
      <c r="O60" t="s">
        <v>231</v>
      </c>
      <c r="P60" s="11" t="s">
        <v>231</v>
      </c>
      <c r="Q60" s="5" t="s">
        <v>231</v>
      </c>
      <c r="R60" t="s">
        <v>303</v>
      </c>
      <c r="S60" t="s">
        <v>438</v>
      </c>
      <c r="T60" t="s">
        <v>438</v>
      </c>
      <c r="U60" t="s">
        <v>260</v>
      </c>
      <c r="V60" s="4" t="s">
        <v>439</v>
      </c>
      <c r="W60">
        <v>2678</v>
      </c>
      <c r="X60" s="6" t="s">
        <v>262</v>
      </c>
      <c r="Y60" t="s">
        <v>440</v>
      </c>
    </row>
    <row r="61" spans="1:25" x14ac:dyDescent="0.2">
      <c r="A61">
        <v>130</v>
      </c>
      <c r="B61" t="s">
        <v>137</v>
      </c>
      <c r="C61">
        <v>755.14335367330102</v>
      </c>
      <c r="D61">
        <v>11.2748599243571</v>
      </c>
      <c r="E61">
        <v>588.81410759608104</v>
      </c>
      <c r="F61">
        <v>692.91814764347203</v>
      </c>
      <c r="G61">
        <v>-22.026181554552899</v>
      </c>
      <c r="H61">
        <v>6045.6918515374</v>
      </c>
      <c r="I61" t="s">
        <v>9</v>
      </c>
      <c r="J61" t="s">
        <v>9</v>
      </c>
      <c r="L61">
        <v>56</v>
      </c>
      <c r="M61">
        <f>G61*-1</f>
        <v>22.026181554552899</v>
      </c>
      <c r="N61">
        <v>185</v>
      </c>
      <c r="O61" t="s">
        <v>137</v>
      </c>
      <c r="P61" s="11" t="s">
        <v>316</v>
      </c>
      <c r="Q61" s="5" t="s">
        <v>316</v>
      </c>
      <c r="R61" t="s">
        <v>308</v>
      </c>
      <c r="S61" t="s">
        <v>313</v>
      </c>
      <c r="T61" t="s">
        <v>313</v>
      </c>
      <c r="U61" t="s">
        <v>260</v>
      </c>
      <c r="V61" s="4" t="s">
        <v>314</v>
      </c>
      <c r="W61">
        <v>596</v>
      </c>
      <c r="X61" s="6" t="s">
        <v>262</v>
      </c>
      <c r="Y61" t="s">
        <v>315</v>
      </c>
    </row>
    <row r="62" spans="1:25" x14ac:dyDescent="0.2">
      <c r="A62">
        <v>226</v>
      </c>
      <c r="B62" t="s">
        <v>233</v>
      </c>
      <c r="C62">
        <v>922.663918407452</v>
      </c>
      <c r="D62">
        <v>14.8823283292999</v>
      </c>
      <c r="E62">
        <v>703.00730054074802</v>
      </c>
      <c r="F62">
        <v>693.60633259176302</v>
      </c>
      <c r="G62">
        <v>-23.806785275167101</v>
      </c>
      <c r="H62">
        <v>4560.6036182269399</v>
      </c>
      <c r="I62" t="s">
        <v>9</v>
      </c>
      <c r="J62" t="s">
        <v>9</v>
      </c>
      <c r="L62">
        <v>49</v>
      </c>
      <c r="M62">
        <f>G62*-1</f>
        <v>23.806785275167101</v>
      </c>
      <c r="N62">
        <v>192</v>
      </c>
      <c r="O62" t="s">
        <v>233</v>
      </c>
      <c r="P62" s="11" t="s">
        <v>233</v>
      </c>
      <c r="Q62" s="5" t="s">
        <v>233</v>
      </c>
      <c r="R62" t="s">
        <v>445</v>
      </c>
      <c r="S62" t="s">
        <v>670</v>
      </c>
      <c r="T62" t="s">
        <v>670</v>
      </c>
      <c r="U62" t="s">
        <v>260</v>
      </c>
      <c r="V62" s="4" t="s">
        <v>671</v>
      </c>
      <c r="W62">
        <v>6523</v>
      </c>
      <c r="X62" s="6" t="s">
        <v>262</v>
      </c>
      <c r="Y62" t="s">
        <v>672</v>
      </c>
    </row>
    <row r="63" spans="1:25" x14ac:dyDescent="0.2">
      <c r="A63">
        <v>228</v>
      </c>
      <c r="B63" t="s">
        <v>235</v>
      </c>
      <c r="C63">
        <v>918.18620989739304</v>
      </c>
      <c r="D63">
        <v>14.0471412780165</v>
      </c>
      <c r="E63">
        <v>699.81368160872</v>
      </c>
      <c r="F63">
        <v>693.61554450620599</v>
      </c>
      <c r="G63">
        <v>-23.783032889709499</v>
      </c>
      <c r="H63">
        <v>4837.77011833505</v>
      </c>
      <c r="I63" t="s">
        <v>9</v>
      </c>
      <c r="J63" t="s">
        <v>9</v>
      </c>
      <c r="L63">
        <v>50</v>
      </c>
      <c r="M63">
        <f>G63*-1</f>
        <v>23.783032889709499</v>
      </c>
      <c r="N63">
        <v>191</v>
      </c>
      <c r="O63" t="s">
        <v>235</v>
      </c>
      <c r="P63" s="11" t="s">
        <v>235</v>
      </c>
      <c r="Q63" s="5" t="s">
        <v>235</v>
      </c>
      <c r="R63" t="s">
        <v>518</v>
      </c>
      <c r="S63" t="s">
        <v>738</v>
      </c>
      <c r="T63" t="s">
        <v>738</v>
      </c>
      <c r="U63" t="s">
        <v>260</v>
      </c>
      <c r="V63" s="4" t="s">
        <v>739</v>
      </c>
      <c r="W63">
        <v>116085</v>
      </c>
      <c r="X63" s="6" t="s">
        <v>262</v>
      </c>
      <c r="Y63" t="s">
        <v>740</v>
      </c>
    </row>
    <row r="64" spans="1:25" x14ac:dyDescent="0.2">
      <c r="A64">
        <v>239</v>
      </c>
      <c r="B64" t="s">
        <v>246</v>
      </c>
      <c r="C64">
        <v>922.25942735025205</v>
      </c>
      <c r="D64">
        <v>9.3826311921154897</v>
      </c>
      <c r="E64">
        <v>693.78329470673395</v>
      </c>
      <c r="F64">
        <v>693.93241592222796</v>
      </c>
      <c r="G64">
        <v>-24.773520971203698</v>
      </c>
      <c r="H64">
        <v>7295.9255321189703</v>
      </c>
      <c r="I64" t="s">
        <v>9</v>
      </c>
      <c r="J64" t="s">
        <v>9</v>
      </c>
      <c r="L64">
        <v>42</v>
      </c>
      <c r="M64">
        <f>G64*-1</f>
        <v>24.773520971203698</v>
      </c>
      <c r="N64">
        <v>199</v>
      </c>
      <c r="O64" t="s">
        <v>246</v>
      </c>
      <c r="P64" s="11" t="s">
        <v>673</v>
      </c>
      <c r="Q64" s="5" t="s">
        <v>673</v>
      </c>
      <c r="R64" t="s">
        <v>445</v>
      </c>
      <c r="S64" t="s">
        <v>670</v>
      </c>
      <c r="T64" t="s">
        <v>670</v>
      </c>
      <c r="U64" t="s">
        <v>260</v>
      </c>
      <c r="V64" s="4" t="s">
        <v>671</v>
      </c>
      <c r="W64">
        <v>6523</v>
      </c>
      <c r="X64" s="6" t="s">
        <v>262</v>
      </c>
      <c r="Y64" t="s">
        <v>672</v>
      </c>
    </row>
    <row r="65" spans="1:25" x14ac:dyDescent="0.2">
      <c r="A65">
        <v>238</v>
      </c>
      <c r="B65" t="s">
        <v>245</v>
      </c>
      <c r="C65">
        <v>900.46875859259706</v>
      </c>
      <c r="D65">
        <v>10.417235889218899</v>
      </c>
      <c r="E65">
        <v>711.65517466875997</v>
      </c>
      <c r="F65">
        <v>698.07766735735595</v>
      </c>
      <c r="G65">
        <v>-20.968365878561599</v>
      </c>
      <c r="H65">
        <v>6601.1794182352796</v>
      </c>
      <c r="I65" t="s">
        <v>9</v>
      </c>
      <c r="J65" t="s">
        <v>9</v>
      </c>
      <c r="L65">
        <v>61</v>
      </c>
      <c r="M65">
        <f>G65*-1</f>
        <v>20.968365878561599</v>
      </c>
      <c r="N65">
        <v>180</v>
      </c>
      <c r="O65" t="s">
        <v>245</v>
      </c>
      <c r="P65" t="s">
        <v>245</v>
      </c>
      <c r="Q65" s="5" t="s">
        <v>459</v>
      </c>
      <c r="R65" t="s">
        <v>303</v>
      </c>
      <c r="S65" t="s">
        <v>456</v>
      </c>
      <c r="T65" t="s">
        <v>456</v>
      </c>
      <c r="U65" t="s">
        <v>260</v>
      </c>
      <c r="V65" s="4" t="s">
        <v>456</v>
      </c>
      <c r="W65">
        <v>2879</v>
      </c>
      <c r="X65" s="6" t="s">
        <v>262</v>
      </c>
      <c r="Y65" t="s">
        <v>457</v>
      </c>
    </row>
    <row r="66" spans="1:25" x14ac:dyDescent="0.2">
      <c r="A66">
        <v>132</v>
      </c>
      <c r="B66" t="s">
        <v>139</v>
      </c>
      <c r="C66">
        <v>912.39770247700301</v>
      </c>
      <c r="D66">
        <v>19.7541075506543</v>
      </c>
      <c r="E66">
        <v>738.58762503247601</v>
      </c>
      <c r="F66">
        <v>699.43531576588998</v>
      </c>
      <c r="G66">
        <v>-19.049815335205501</v>
      </c>
      <c r="H66">
        <v>3440.70825003037</v>
      </c>
      <c r="I66" t="s">
        <v>9</v>
      </c>
      <c r="J66" t="s">
        <v>9</v>
      </c>
      <c r="L66">
        <v>69</v>
      </c>
      <c r="M66">
        <f>G66*-1</f>
        <v>19.049815335205501</v>
      </c>
      <c r="N66">
        <v>172</v>
      </c>
      <c r="O66" t="s">
        <v>139</v>
      </c>
      <c r="P66" s="11" t="s">
        <v>598</v>
      </c>
      <c r="Q66" s="5" t="s">
        <v>598</v>
      </c>
      <c r="R66" t="s">
        <v>308</v>
      </c>
      <c r="S66" t="s">
        <v>599</v>
      </c>
      <c r="T66" t="s">
        <v>599</v>
      </c>
      <c r="U66" t="s">
        <v>260</v>
      </c>
      <c r="V66" s="4" t="s">
        <v>600</v>
      </c>
      <c r="W66">
        <v>142</v>
      </c>
      <c r="X66" s="6" t="s">
        <v>262</v>
      </c>
      <c r="Y66" t="s">
        <v>601</v>
      </c>
    </row>
    <row r="67" spans="1:25" x14ac:dyDescent="0.2">
      <c r="A67">
        <v>144</v>
      </c>
      <c r="B67" t="s">
        <v>151</v>
      </c>
      <c r="C67">
        <v>907.16279486383598</v>
      </c>
      <c r="D67">
        <v>8.9028787644640008</v>
      </c>
      <c r="E67">
        <v>712.43737522231004</v>
      </c>
      <c r="F67">
        <v>700.82602418008605</v>
      </c>
      <c r="G67">
        <v>-21.4653225136678</v>
      </c>
      <c r="H67">
        <v>7771.9034901098003</v>
      </c>
      <c r="I67" t="s">
        <v>9</v>
      </c>
      <c r="J67" t="s">
        <v>9</v>
      </c>
      <c r="L67">
        <v>59</v>
      </c>
      <c r="M67">
        <f>G67*-1</f>
        <v>21.4653225136678</v>
      </c>
      <c r="N67">
        <v>182</v>
      </c>
      <c r="O67" t="s">
        <v>151</v>
      </c>
      <c r="P67" s="11" t="s">
        <v>151</v>
      </c>
      <c r="Q67" s="5" t="s">
        <v>151</v>
      </c>
      <c r="R67" t="s">
        <v>258</v>
      </c>
      <c r="S67" t="s">
        <v>529</v>
      </c>
      <c r="T67" t="s">
        <v>529</v>
      </c>
      <c r="U67" t="s">
        <v>260</v>
      </c>
      <c r="V67" s="4" t="s">
        <v>530</v>
      </c>
      <c r="W67">
        <v>5406</v>
      </c>
      <c r="X67" s="6" t="s">
        <v>262</v>
      </c>
      <c r="Y67" t="s">
        <v>531</v>
      </c>
    </row>
    <row r="68" spans="1:25" x14ac:dyDescent="0.2">
      <c r="A68">
        <v>136</v>
      </c>
      <c r="B68" t="s">
        <v>143</v>
      </c>
      <c r="C68">
        <v>915.80681132636903</v>
      </c>
      <c r="D68">
        <v>10.3650411682226</v>
      </c>
      <c r="E68">
        <v>743.055927355417</v>
      </c>
      <c r="F68">
        <v>701.13347050333596</v>
      </c>
      <c r="G68">
        <v>-18.863245155466402</v>
      </c>
      <c r="H68">
        <v>6664.4060368316696</v>
      </c>
      <c r="I68" t="s">
        <v>9</v>
      </c>
      <c r="J68" t="s">
        <v>9</v>
      </c>
      <c r="L68">
        <v>70</v>
      </c>
      <c r="M68">
        <f>G68*-1</f>
        <v>18.863245155466402</v>
      </c>
      <c r="N68">
        <v>171</v>
      </c>
      <c r="O68" t="s">
        <v>143</v>
      </c>
      <c r="P68" s="11" t="s">
        <v>143</v>
      </c>
      <c r="Q68" s="5" t="s">
        <v>143</v>
      </c>
      <c r="R68" t="s">
        <v>258</v>
      </c>
      <c r="S68" t="s">
        <v>643</v>
      </c>
      <c r="T68" t="s">
        <v>643</v>
      </c>
      <c r="U68" t="s">
        <v>260</v>
      </c>
      <c r="V68" s="4" t="s">
        <v>641</v>
      </c>
      <c r="W68">
        <v>5465</v>
      </c>
      <c r="X68" s="6" t="s">
        <v>262</v>
      </c>
      <c r="Y68" t="s">
        <v>642</v>
      </c>
    </row>
    <row r="69" spans="1:25" x14ac:dyDescent="0.2">
      <c r="A69">
        <v>220</v>
      </c>
      <c r="B69" t="s">
        <v>227</v>
      </c>
      <c r="C69">
        <v>923.16367845837203</v>
      </c>
      <c r="D69">
        <v>14.745981277047999</v>
      </c>
      <c r="E69">
        <v>716.75867873565096</v>
      </c>
      <c r="F69">
        <v>702.47512730455401</v>
      </c>
      <c r="G69">
        <v>-22.358440278695198</v>
      </c>
      <c r="H69">
        <v>4663.8411720890499</v>
      </c>
      <c r="I69" t="s">
        <v>9</v>
      </c>
      <c r="J69" t="s">
        <v>9</v>
      </c>
      <c r="L69">
        <v>55</v>
      </c>
      <c r="M69">
        <f>G69*-1</f>
        <v>22.358440278695198</v>
      </c>
      <c r="N69">
        <v>186</v>
      </c>
      <c r="O69" t="s">
        <v>227</v>
      </c>
      <c r="P69" s="11" t="s">
        <v>227</v>
      </c>
      <c r="Q69" s="5" t="s">
        <v>227</v>
      </c>
      <c r="R69" t="s">
        <v>303</v>
      </c>
      <c r="S69" t="s">
        <v>468</v>
      </c>
      <c r="T69" t="s">
        <v>468</v>
      </c>
      <c r="U69" t="s">
        <v>260</v>
      </c>
      <c r="V69" s="4" t="s">
        <v>469</v>
      </c>
      <c r="W69">
        <v>2950</v>
      </c>
      <c r="X69" s="6" t="s">
        <v>262</v>
      </c>
      <c r="Y69" t="s">
        <v>470</v>
      </c>
    </row>
    <row r="70" spans="1:25" x14ac:dyDescent="0.2">
      <c r="A70">
        <v>142</v>
      </c>
      <c r="B70" t="s">
        <v>149</v>
      </c>
      <c r="C70">
        <v>895.40516044627202</v>
      </c>
      <c r="D70">
        <v>12.713428886631799</v>
      </c>
      <c r="E70">
        <v>740.76003830240495</v>
      </c>
      <c r="F70">
        <v>703.04749161839902</v>
      </c>
      <c r="G70">
        <v>-17.270966147524899</v>
      </c>
      <c r="H70">
        <v>5429.9596819049702</v>
      </c>
      <c r="I70" t="s">
        <v>9</v>
      </c>
      <c r="J70" t="s">
        <v>9</v>
      </c>
      <c r="L70">
        <v>83</v>
      </c>
      <c r="M70">
        <f>G70*-1</f>
        <v>17.270966147524899</v>
      </c>
      <c r="N70">
        <v>158</v>
      </c>
      <c r="O70" t="s">
        <v>149</v>
      </c>
      <c r="P70" s="11" t="s">
        <v>562</v>
      </c>
      <c r="Q70" s="5" t="s">
        <v>562</v>
      </c>
      <c r="R70" t="s">
        <v>299</v>
      </c>
      <c r="S70" t="s">
        <v>563</v>
      </c>
      <c r="T70" t="s">
        <v>563</v>
      </c>
      <c r="U70" t="s">
        <v>260</v>
      </c>
      <c r="V70" s="4"/>
      <c r="X70" s="6" t="s">
        <v>262</v>
      </c>
    </row>
    <row r="71" spans="1:25" x14ac:dyDescent="0.2">
      <c r="A71">
        <v>131</v>
      </c>
      <c r="B71" t="s">
        <v>138</v>
      </c>
      <c r="C71">
        <v>884.89255153377599</v>
      </c>
      <c r="D71">
        <v>19.2832691403142</v>
      </c>
      <c r="E71">
        <v>754.371170987852</v>
      </c>
      <c r="F71">
        <v>703.41981685469398</v>
      </c>
      <c r="G71">
        <v>-14.7499693968147</v>
      </c>
      <c r="H71">
        <v>3547.8245039068702</v>
      </c>
      <c r="I71" s="1">
        <v>6.8346247542767201E-6</v>
      </c>
      <c r="J71" t="s">
        <v>9</v>
      </c>
      <c r="L71">
        <v>98</v>
      </c>
      <c r="M71">
        <f>G71*-1</f>
        <v>14.7499693968147</v>
      </c>
      <c r="N71">
        <v>143</v>
      </c>
      <c r="O71" t="s">
        <v>138</v>
      </c>
      <c r="P71" t="s">
        <v>138</v>
      </c>
      <c r="Q71" s="5" t="s">
        <v>735</v>
      </c>
      <c r="R71" t="s">
        <v>303</v>
      </c>
      <c r="S71" t="s">
        <v>729</v>
      </c>
      <c r="T71" t="s">
        <v>729</v>
      </c>
      <c r="U71" t="s">
        <v>260</v>
      </c>
      <c r="V71" s="4"/>
      <c r="X71" s="6" t="s">
        <v>262</v>
      </c>
    </row>
    <row r="72" spans="1:25" x14ac:dyDescent="0.2">
      <c r="A72">
        <v>235</v>
      </c>
      <c r="B72" t="s">
        <v>242</v>
      </c>
      <c r="C72">
        <v>934.37648446196999</v>
      </c>
      <c r="D72">
        <v>8.9270040141699791</v>
      </c>
      <c r="E72">
        <v>700.24829507339302</v>
      </c>
      <c r="F72">
        <v>704.28674341614305</v>
      </c>
      <c r="G72">
        <v>-25.057157717682902</v>
      </c>
      <c r="H72">
        <v>7789.3965130767001</v>
      </c>
      <c r="I72" t="s">
        <v>9</v>
      </c>
      <c r="J72" t="s">
        <v>9</v>
      </c>
      <c r="L72">
        <v>41</v>
      </c>
      <c r="M72">
        <f>G72*-1</f>
        <v>25.057157717682902</v>
      </c>
      <c r="N72">
        <v>200</v>
      </c>
      <c r="O72" t="s">
        <v>242</v>
      </c>
      <c r="P72" s="11" t="s">
        <v>242</v>
      </c>
      <c r="Q72" s="5" t="s">
        <v>242</v>
      </c>
      <c r="R72" t="s">
        <v>276</v>
      </c>
      <c r="S72" t="s">
        <v>375</v>
      </c>
      <c r="T72" t="s">
        <v>375</v>
      </c>
      <c r="U72" t="s">
        <v>260</v>
      </c>
      <c r="V72" s="4" t="s">
        <v>375</v>
      </c>
      <c r="W72">
        <v>1543</v>
      </c>
      <c r="X72" s="6" t="s">
        <v>262</v>
      </c>
      <c r="Y72" t="s">
        <v>376</v>
      </c>
    </row>
    <row r="73" spans="1:25" x14ac:dyDescent="0.2">
      <c r="A73">
        <v>134</v>
      </c>
      <c r="B73" t="s">
        <v>141</v>
      </c>
      <c r="C73">
        <v>918.48597489959604</v>
      </c>
      <c r="D73">
        <v>12.761398047620901</v>
      </c>
      <c r="E73">
        <v>757.77678744185505</v>
      </c>
      <c r="F73">
        <v>704.49825047694799</v>
      </c>
      <c r="G73">
        <v>-17.497184698471798</v>
      </c>
      <c r="H73">
        <v>5420.5413062739699</v>
      </c>
      <c r="I73" t="s">
        <v>9</v>
      </c>
      <c r="J73" t="s">
        <v>9</v>
      </c>
      <c r="L73">
        <v>78</v>
      </c>
      <c r="M73">
        <f>G73*-1</f>
        <v>17.497184698471798</v>
      </c>
      <c r="N73">
        <v>163</v>
      </c>
      <c r="O73" t="s">
        <v>141</v>
      </c>
      <c r="P73" s="11" t="s">
        <v>141</v>
      </c>
      <c r="Q73" s="5" t="s">
        <v>141</v>
      </c>
      <c r="R73" t="s">
        <v>414</v>
      </c>
      <c r="S73" t="s">
        <v>633</v>
      </c>
      <c r="T73" t="s">
        <v>633</v>
      </c>
      <c r="U73" t="s">
        <v>260</v>
      </c>
      <c r="V73" s="4" t="s">
        <v>634</v>
      </c>
      <c r="W73">
        <v>5315</v>
      </c>
      <c r="X73" s="6" t="s">
        <v>262</v>
      </c>
      <c r="Y73" t="s">
        <v>635</v>
      </c>
    </row>
    <row r="74" spans="1:25" x14ac:dyDescent="0.2">
      <c r="A74">
        <v>168</v>
      </c>
      <c r="B74" t="s">
        <v>175</v>
      </c>
      <c r="C74">
        <v>919.15148386342696</v>
      </c>
      <c r="D74">
        <v>11.882833600527199</v>
      </c>
      <c r="E74">
        <v>576.77944049429595</v>
      </c>
      <c r="F74">
        <v>704.70762705310199</v>
      </c>
      <c r="G74">
        <v>-37.248707028144501</v>
      </c>
      <c r="H74">
        <v>5830.4678559315698</v>
      </c>
      <c r="I74" t="s">
        <v>9</v>
      </c>
      <c r="J74" t="s">
        <v>9</v>
      </c>
      <c r="L74">
        <v>6</v>
      </c>
      <c r="M74">
        <f>G74*-1</f>
        <v>37.248707028144501</v>
      </c>
      <c r="N74">
        <v>235</v>
      </c>
      <c r="O74" t="s">
        <v>175</v>
      </c>
      <c r="P74" s="11" t="s">
        <v>486</v>
      </c>
      <c r="Q74" s="5" t="s">
        <v>486</v>
      </c>
      <c r="R74" t="s">
        <v>258</v>
      </c>
      <c r="S74" t="s">
        <v>484</v>
      </c>
      <c r="T74" t="s">
        <v>484</v>
      </c>
      <c r="U74" t="s">
        <v>260</v>
      </c>
      <c r="V74" s="4" t="s">
        <v>484</v>
      </c>
      <c r="W74">
        <v>3156</v>
      </c>
      <c r="X74" s="6" t="s">
        <v>262</v>
      </c>
      <c r="Y74" t="s">
        <v>485</v>
      </c>
    </row>
    <row r="75" spans="1:25" x14ac:dyDescent="0.2">
      <c r="A75">
        <v>222</v>
      </c>
      <c r="B75" t="s">
        <v>229</v>
      </c>
      <c r="C75">
        <v>921.38132028648704</v>
      </c>
      <c r="D75">
        <v>13.7807420953392</v>
      </c>
      <c r="E75">
        <v>698.53251236374501</v>
      </c>
      <c r="F75">
        <v>704.87878245162699</v>
      </c>
      <c r="G75">
        <v>-24.186382230263899</v>
      </c>
      <c r="H75">
        <v>5014.9551858315799</v>
      </c>
      <c r="I75" t="s">
        <v>9</v>
      </c>
      <c r="J75" t="s">
        <v>9</v>
      </c>
      <c r="L75">
        <v>47</v>
      </c>
      <c r="M75">
        <f>G75*-1</f>
        <v>24.186382230263899</v>
      </c>
      <c r="N75">
        <v>194</v>
      </c>
      <c r="O75" t="s">
        <v>229</v>
      </c>
      <c r="P75" s="11" t="s">
        <v>229</v>
      </c>
      <c r="Q75" s="5" t="s">
        <v>229</v>
      </c>
      <c r="R75" t="s">
        <v>518</v>
      </c>
      <c r="S75" t="s">
        <v>680</v>
      </c>
      <c r="T75" t="s">
        <v>680</v>
      </c>
      <c r="U75" t="s">
        <v>260</v>
      </c>
      <c r="V75" s="4" t="s">
        <v>680</v>
      </c>
      <c r="W75">
        <v>6557</v>
      </c>
      <c r="X75" s="6" t="s">
        <v>262</v>
      </c>
      <c r="Y75" t="s">
        <v>681</v>
      </c>
    </row>
    <row r="76" spans="1:25" x14ac:dyDescent="0.2">
      <c r="A76">
        <v>234</v>
      </c>
      <c r="B76" t="s">
        <v>241</v>
      </c>
      <c r="C76">
        <v>936.5419318104</v>
      </c>
      <c r="D76">
        <v>12.644565558028299</v>
      </c>
      <c r="E76">
        <v>710.38814523654298</v>
      </c>
      <c r="F76">
        <v>704.91502564857296</v>
      </c>
      <c r="G76">
        <v>-24.147748103140099</v>
      </c>
      <c r="H76">
        <v>5474.8457502441097</v>
      </c>
      <c r="I76" t="s">
        <v>9</v>
      </c>
      <c r="J76" t="s">
        <v>9</v>
      </c>
      <c r="L76">
        <v>48</v>
      </c>
      <c r="M76">
        <f>G76*-1</f>
        <v>24.147748103140099</v>
      </c>
      <c r="N76">
        <v>193</v>
      </c>
      <c r="O76" t="s">
        <v>241</v>
      </c>
      <c r="P76" s="11" t="s">
        <v>241</v>
      </c>
      <c r="Q76" s="5" t="s">
        <v>241</v>
      </c>
      <c r="R76" t="s">
        <v>406</v>
      </c>
      <c r="S76" t="s">
        <v>522</v>
      </c>
      <c r="T76" t="s">
        <v>522</v>
      </c>
      <c r="U76" t="s">
        <v>260</v>
      </c>
      <c r="V76" s="4" t="s">
        <v>523</v>
      </c>
      <c r="W76">
        <v>2081</v>
      </c>
      <c r="X76" s="6" t="s">
        <v>262</v>
      </c>
      <c r="Y76" t="s">
        <v>524</v>
      </c>
    </row>
    <row r="77" spans="1:25" x14ac:dyDescent="0.2">
      <c r="A77">
        <v>123</v>
      </c>
      <c r="B77" t="s">
        <v>130</v>
      </c>
      <c r="C77">
        <v>922.211496539574</v>
      </c>
      <c r="D77">
        <v>11.0021148711077</v>
      </c>
      <c r="E77">
        <v>765.27511675141204</v>
      </c>
      <c r="F77">
        <v>705.30337174299905</v>
      </c>
      <c r="G77">
        <v>-17.017395725062698</v>
      </c>
      <c r="H77">
        <v>6310.6163224597503</v>
      </c>
      <c r="I77" t="s">
        <v>9</v>
      </c>
      <c r="J77" t="s">
        <v>9</v>
      </c>
      <c r="L77">
        <v>84</v>
      </c>
      <c r="M77">
        <f>G77*-1</f>
        <v>17.017395725062698</v>
      </c>
      <c r="N77">
        <v>157</v>
      </c>
      <c r="O77" t="s">
        <v>130</v>
      </c>
      <c r="P77" s="11" t="s">
        <v>370</v>
      </c>
      <c r="Q77" s="5" t="s">
        <v>370</v>
      </c>
      <c r="R77" t="s">
        <v>368</v>
      </c>
      <c r="S77" t="s">
        <v>371</v>
      </c>
      <c r="T77" t="s">
        <v>371</v>
      </c>
      <c r="U77" t="s">
        <v>260</v>
      </c>
      <c r="V77" s="4" t="s">
        <v>371</v>
      </c>
      <c r="W77">
        <v>1586</v>
      </c>
      <c r="X77" s="6" t="s">
        <v>262</v>
      </c>
      <c r="Y77" t="s">
        <v>372</v>
      </c>
    </row>
    <row r="78" spans="1:25" x14ac:dyDescent="0.2">
      <c r="A78">
        <v>135</v>
      </c>
      <c r="B78" t="s">
        <v>142</v>
      </c>
      <c r="C78">
        <v>923.72545459067601</v>
      </c>
      <c r="D78">
        <v>11.448509580645499</v>
      </c>
      <c r="E78">
        <v>767.859279467428</v>
      </c>
      <c r="F78">
        <v>705.64172181500805</v>
      </c>
      <c r="G78">
        <v>-16.873647288665001</v>
      </c>
      <c r="H78">
        <v>6063.6121002854698</v>
      </c>
      <c r="I78" t="s">
        <v>9</v>
      </c>
      <c r="J78" t="s">
        <v>9</v>
      </c>
      <c r="L78">
        <v>86</v>
      </c>
      <c r="M78">
        <f>G78*-1</f>
        <v>16.873647288665001</v>
      </c>
      <c r="N78">
        <v>155</v>
      </c>
      <c r="O78" t="s">
        <v>142</v>
      </c>
      <c r="P78" s="11" t="s">
        <v>142</v>
      </c>
      <c r="Q78" s="5" t="s">
        <v>142</v>
      </c>
      <c r="R78" t="s">
        <v>361</v>
      </c>
      <c r="S78" t="s">
        <v>506</v>
      </c>
      <c r="T78" t="s">
        <v>506</v>
      </c>
      <c r="U78" t="s">
        <v>260</v>
      </c>
      <c r="V78" s="4" t="s">
        <v>650</v>
      </c>
      <c r="W78">
        <v>100</v>
      </c>
      <c r="X78" s="6" t="s">
        <v>262</v>
      </c>
      <c r="Y78" t="s">
        <v>651</v>
      </c>
    </row>
    <row r="79" spans="1:25" x14ac:dyDescent="0.2">
      <c r="A79">
        <v>196</v>
      </c>
      <c r="B79" t="s">
        <v>203</v>
      </c>
      <c r="C79">
        <v>943.42891684628103</v>
      </c>
      <c r="D79">
        <v>7.7972289918088897</v>
      </c>
      <c r="E79">
        <v>765.82734068478101</v>
      </c>
      <c r="F79">
        <v>706.28328514461703</v>
      </c>
      <c r="G79">
        <v>-18.8251147479337</v>
      </c>
      <c r="H79">
        <v>8958.1318810384892</v>
      </c>
      <c r="I79" t="s">
        <v>9</v>
      </c>
      <c r="J79" t="s">
        <v>9</v>
      </c>
      <c r="L79">
        <v>72</v>
      </c>
      <c r="M79">
        <f>G79*-1</f>
        <v>18.8251147479337</v>
      </c>
      <c r="N79">
        <v>169</v>
      </c>
      <c r="O79" t="s">
        <v>203</v>
      </c>
      <c r="P79" s="11" t="s">
        <v>504</v>
      </c>
      <c r="Q79" s="5" t="s">
        <v>504</v>
      </c>
      <c r="R79" t="s">
        <v>494</v>
      </c>
      <c r="S79" t="s">
        <v>501</v>
      </c>
      <c r="T79" t="s">
        <v>501</v>
      </c>
      <c r="U79" t="s">
        <v>260</v>
      </c>
      <c r="V79" s="4" t="s">
        <v>502</v>
      </c>
      <c r="W79">
        <v>3418</v>
      </c>
      <c r="X79" s="6" t="s">
        <v>262</v>
      </c>
      <c r="Y79" t="s">
        <v>503</v>
      </c>
    </row>
    <row r="80" spans="1:25" x14ac:dyDescent="0.2">
      <c r="A80">
        <v>127</v>
      </c>
      <c r="B80" t="s">
        <v>134</v>
      </c>
      <c r="C80">
        <v>927.966076772723</v>
      </c>
      <c r="D80">
        <v>10.726984354031901</v>
      </c>
      <c r="E80">
        <v>764.48243945310401</v>
      </c>
      <c r="F80">
        <v>706.66690475595396</v>
      </c>
      <c r="G80">
        <v>-17.617415271060501</v>
      </c>
      <c r="H80">
        <v>6487.7499344943399</v>
      </c>
      <c r="I80" t="s">
        <v>9</v>
      </c>
      <c r="J80" t="s">
        <v>9</v>
      </c>
      <c r="L80">
        <v>77</v>
      </c>
      <c r="M80">
        <f>G80*-1</f>
        <v>17.617415271060501</v>
      </c>
      <c r="N80">
        <v>164</v>
      </c>
      <c r="O80" t="s">
        <v>134</v>
      </c>
      <c r="P80" s="11" t="s">
        <v>564</v>
      </c>
      <c r="Q80" s="5" t="s">
        <v>564</v>
      </c>
      <c r="R80" t="s">
        <v>303</v>
      </c>
      <c r="S80" t="s">
        <v>565</v>
      </c>
      <c r="T80" t="s">
        <v>565</v>
      </c>
      <c r="U80" t="s">
        <v>260</v>
      </c>
      <c r="V80" s="4"/>
      <c r="X80" s="6" t="s">
        <v>262</v>
      </c>
    </row>
    <row r="81" spans="1:25" x14ac:dyDescent="0.2">
      <c r="A81">
        <v>138</v>
      </c>
      <c r="B81" t="s">
        <v>145</v>
      </c>
      <c r="C81">
        <v>907.63684471045099</v>
      </c>
      <c r="D81">
        <v>13.644596621083799</v>
      </c>
      <c r="E81">
        <v>753.48392974674903</v>
      </c>
      <c r="F81">
        <v>707.456038975865</v>
      </c>
      <c r="G81">
        <v>-16.9839860360538</v>
      </c>
      <c r="H81">
        <v>5084.88056937276</v>
      </c>
      <c r="I81" t="s">
        <v>9</v>
      </c>
      <c r="J81" t="s">
        <v>9</v>
      </c>
      <c r="L81">
        <v>85</v>
      </c>
      <c r="M81">
        <f>G81*-1</f>
        <v>16.9839860360538</v>
      </c>
      <c r="N81">
        <v>156</v>
      </c>
      <c r="O81" t="s">
        <v>145</v>
      </c>
      <c r="P81" s="11" t="s">
        <v>145</v>
      </c>
      <c r="Q81" s="5" t="s">
        <v>145</v>
      </c>
      <c r="R81" t="s">
        <v>289</v>
      </c>
      <c r="S81" t="s">
        <v>487</v>
      </c>
      <c r="T81" t="s">
        <v>487</v>
      </c>
      <c r="U81" t="s">
        <v>260</v>
      </c>
      <c r="V81" s="4" t="s">
        <v>487</v>
      </c>
      <c r="W81">
        <v>100682260</v>
      </c>
      <c r="X81" s="6" t="s">
        <v>262</v>
      </c>
      <c r="Y81" t="s">
        <v>488</v>
      </c>
    </row>
    <row r="82" spans="1:25" ht="15" customHeight="1" x14ac:dyDescent="0.2">
      <c r="A82">
        <v>143</v>
      </c>
      <c r="B82" t="s">
        <v>150</v>
      </c>
      <c r="C82">
        <v>926.35453293541798</v>
      </c>
      <c r="D82">
        <v>10.4739575164787</v>
      </c>
      <c r="E82">
        <v>748.77004679953404</v>
      </c>
      <c r="F82">
        <v>707.69086840818704</v>
      </c>
      <c r="G82">
        <v>-19.1702506785557</v>
      </c>
      <c r="H82">
        <v>6656.6711751004595</v>
      </c>
      <c r="I82" t="s">
        <v>9</v>
      </c>
      <c r="J82" t="s">
        <v>9</v>
      </c>
      <c r="L82">
        <v>68</v>
      </c>
      <c r="M82">
        <f>G82*-1</f>
        <v>19.1702506785557</v>
      </c>
      <c r="N82">
        <v>173</v>
      </c>
      <c r="O82" t="s">
        <v>150</v>
      </c>
      <c r="P82" t="s">
        <v>150</v>
      </c>
      <c r="Q82" s="5" t="s">
        <v>388</v>
      </c>
      <c r="R82" t="s">
        <v>258</v>
      </c>
      <c r="S82" t="s">
        <v>386</v>
      </c>
      <c r="T82" t="s">
        <v>386</v>
      </c>
      <c r="U82" t="s">
        <v>260</v>
      </c>
      <c r="V82" s="4" t="s">
        <v>386</v>
      </c>
      <c r="W82">
        <v>8694</v>
      </c>
      <c r="X82" s="6" t="s">
        <v>262</v>
      </c>
      <c r="Y82" t="s">
        <v>387</v>
      </c>
    </row>
    <row r="83" spans="1:25" x14ac:dyDescent="0.2">
      <c r="A83">
        <v>124</v>
      </c>
      <c r="B83" t="s">
        <v>131</v>
      </c>
      <c r="C83">
        <v>844.02947280513604</v>
      </c>
      <c r="D83">
        <v>26.734893620907901</v>
      </c>
      <c r="E83">
        <v>707.42782388182195</v>
      </c>
      <c r="F83">
        <v>707.748244650522</v>
      </c>
      <c r="G83">
        <v>-16.1844643255546</v>
      </c>
      <c r="H83">
        <v>2547.2828158068</v>
      </c>
      <c r="I83" s="1">
        <v>3.721319466698E-6</v>
      </c>
      <c r="J83" s="1">
        <v>4.4388602658330096E-6</v>
      </c>
      <c r="L83">
        <v>90</v>
      </c>
      <c r="M83">
        <f>G83*-1</f>
        <v>16.1844643255546</v>
      </c>
      <c r="N83">
        <v>151</v>
      </c>
      <c r="O83" t="s">
        <v>131</v>
      </c>
      <c r="P83" s="11" t="s">
        <v>131</v>
      </c>
      <c r="Q83" s="5" t="s">
        <v>131</v>
      </c>
      <c r="R83" t="s">
        <v>303</v>
      </c>
      <c r="S83" t="s">
        <v>729</v>
      </c>
      <c r="T83" t="s">
        <v>729</v>
      </c>
      <c r="U83" t="s">
        <v>260</v>
      </c>
      <c r="V83" s="4"/>
      <c r="X83" s="6" t="s">
        <v>262</v>
      </c>
    </row>
    <row r="84" spans="1:25" x14ac:dyDescent="0.2">
      <c r="A84">
        <v>230</v>
      </c>
      <c r="B84" t="s">
        <v>237</v>
      </c>
      <c r="C84">
        <v>918.56062161566604</v>
      </c>
      <c r="D84">
        <v>10.5718047589453</v>
      </c>
      <c r="E84">
        <v>703.90399456948899</v>
      </c>
      <c r="F84">
        <v>707.90161097724297</v>
      </c>
      <c r="G84">
        <v>-23.368803538368098</v>
      </c>
      <c r="H84">
        <v>6596.1283065528896</v>
      </c>
      <c r="I84" t="s">
        <v>9</v>
      </c>
      <c r="J84" t="s">
        <v>9</v>
      </c>
      <c r="L84">
        <v>52</v>
      </c>
      <c r="M84">
        <f>G84*-1</f>
        <v>23.368803538368098</v>
      </c>
      <c r="N84">
        <v>189</v>
      </c>
      <c r="O84" t="s">
        <v>237</v>
      </c>
      <c r="P84" s="11" t="s">
        <v>237</v>
      </c>
      <c r="Q84" s="5" t="s">
        <v>237</v>
      </c>
      <c r="R84" t="s">
        <v>414</v>
      </c>
      <c r="S84" t="s">
        <v>478</v>
      </c>
      <c r="T84" t="s">
        <v>478</v>
      </c>
      <c r="U84" t="s">
        <v>260</v>
      </c>
      <c r="V84" s="4" t="s">
        <v>479</v>
      </c>
      <c r="W84">
        <v>3098</v>
      </c>
      <c r="X84" s="6" t="s">
        <v>262</v>
      </c>
      <c r="Y84" t="s">
        <v>480</v>
      </c>
    </row>
    <row r="85" spans="1:25" x14ac:dyDescent="0.2">
      <c r="A85">
        <v>139</v>
      </c>
      <c r="B85" t="s">
        <v>146</v>
      </c>
      <c r="C85">
        <v>917.91408800321301</v>
      </c>
      <c r="D85">
        <v>11.59507772321</v>
      </c>
      <c r="E85">
        <v>744.85546280227595</v>
      </c>
      <c r="F85">
        <v>711.84315309658098</v>
      </c>
      <c r="G85">
        <v>-18.853466513124399</v>
      </c>
      <c r="H85">
        <v>6039.1839717613702</v>
      </c>
      <c r="I85" t="s">
        <v>9</v>
      </c>
      <c r="J85" t="s">
        <v>9</v>
      </c>
      <c r="L85">
        <v>71</v>
      </c>
      <c r="M85">
        <f>G85*-1</f>
        <v>18.853466513124399</v>
      </c>
      <c r="N85">
        <v>170</v>
      </c>
      <c r="O85" t="s">
        <v>146</v>
      </c>
      <c r="P85" t="s">
        <v>146</v>
      </c>
      <c r="Q85" s="5" t="s">
        <v>381</v>
      </c>
      <c r="R85" t="s">
        <v>368</v>
      </c>
      <c r="S85" t="s">
        <v>379</v>
      </c>
      <c r="T85" t="s">
        <v>379</v>
      </c>
      <c r="U85" t="s">
        <v>260</v>
      </c>
      <c r="V85" s="4" t="s">
        <v>379</v>
      </c>
      <c r="W85">
        <v>1576</v>
      </c>
      <c r="X85" s="6" t="s">
        <v>262</v>
      </c>
      <c r="Y85" t="s">
        <v>380</v>
      </c>
    </row>
    <row r="86" spans="1:25" x14ac:dyDescent="0.2">
      <c r="A86">
        <v>219</v>
      </c>
      <c r="B86" t="s">
        <v>226</v>
      </c>
      <c r="C86">
        <v>917.58832295007198</v>
      </c>
      <c r="D86">
        <v>16.071080342630601</v>
      </c>
      <c r="E86">
        <v>701.11739249764605</v>
      </c>
      <c r="F86">
        <v>714.83732396730602</v>
      </c>
      <c r="G86">
        <v>-23.591290891373401</v>
      </c>
      <c r="H86">
        <v>4347.9730592292999</v>
      </c>
      <c r="I86" t="s">
        <v>9</v>
      </c>
      <c r="J86">
        <v>0.53932177944811899</v>
      </c>
      <c r="L86">
        <v>51</v>
      </c>
      <c r="M86">
        <f>G86*-1</f>
        <v>23.591290891373401</v>
      </c>
      <c r="N86">
        <v>190</v>
      </c>
      <c r="O86" t="s">
        <v>226</v>
      </c>
      <c r="P86" s="11" t="s">
        <v>632</v>
      </c>
      <c r="Q86" s="5" t="s">
        <v>632</v>
      </c>
      <c r="R86" t="s">
        <v>629</v>
      </c>
      <c r="S86" t="s">
        <v>630</v>
      </c>
      <c r="T86" t="s">
        <v>630</v>
      </c>
      <c r="U86" t="s">
        <v>260</v>
      </c>
      <c r="V86" s="4" t="s">
        <v>630</v>
      </c>
      <c r="W86">
        <v>26227</v>
      </c>
      <c r="X86" s="6" t="s">
        <v>262</v>
      </c>
      <c r="Y86" t="s">
        <v>631</v>
      </c>
    </row>
    <row r="87" spans="1:25" x14ac:dyDescent="0.2">
      <c r="A87">
        <v>160</v>
      </c>
      <c r="B87" t="s">
        <v>167</v>
      </c>
      <c r="C87">
        <v>852.45465788156105</v>
      </c>
      <c r="D87">
        <v>12.3056472564916</v>
      </c>
      <c r="E87">
        <v>610.985562417138</v>
      </c>
      <c r="F87">
        <v>720.19890459093301</v>
      </c>
      <c r="G87">
        <v>-28.326327181377501</v>
      </c>
      <c r="H87">
        <v>5752.5885683177603</v>
      </c>
      <c r="I87" s="1">
        <v>6.2567936265641302E-6</v>
      </c>
      <c r="J87" t="s">
        <v>9</v>
      </c>
      <c r="L87">
        <v>28</v>
      </c>
      <c r="M87">
        <f>G87*-1</f>
        <v>28.326327181377501</v>
      </c>
      <c r="N87">
        <v>213</v>
      </c>
      <c r="O87" t="s">
        <v>167</v>
      </c>
      <c r="P87" s="11" t="s">
        <v>587</v>
      </c>
      <c r="Q87" s="5" t="s">
        <v>587</v>
      </c>
      <c r="R87" t="s">
        <v>258</v>
      </c>
      <c r="S87" t="s">
        <v>588</v>
      </c>
      <c r="T87" t="s">
        <v>588</v>
      </c>
      <c r="U87" t="s">
        <v>260</v>
      </c>
      <c r="V87" s="4" t="s">
        <v>589</v>
      </c>
      <c r="W87">
        <v>4047</v>
      </c>
      <c r="X87" s="6" t="s">
        <v>262</v>
      </c>
      <c r="Y87" t="s">
        <v>590</v>
      </c>
    </row>
    <row r="88" spans="1:25" x14ac:dyDescent="0.2">
      <c r="A88">
        <v>129</v>
      </c>
      <c r="B88" t="s">
        <v>136</v>
      </c>
      <c r="C88">
        <v>929.80634721478702</v>
      </c>
      <c r="D88">
        <v>8.4964590214888602</v>
      </c>
      <c r="E88">
        <v>725.40527705251998</v>
      </c>
      <c r="F88">
        <v>721.748341098428</v>
      </c>
      <c r="G88">
        <v>-21.983187227592801</v>
      </c>
      <c r="H88">
        <v>8394.6957229242707</v>
      </c>
      <c r="I88" t="s">
        <v>9</v>
      </c>
      <c r="J88">
        <v>173877.26125094999</v>
      </c>
      <c r="L88">
        <v>57</v>
      </c>
      <c r="M88">
        <f>G88*-1</f>
        <v>21.983187227592801</v>
      </c>
      <c r="N88">
        <v>184</v>
      </c>
      <c r="O88" t="s">
        <v>136</v>
      </c>
      <c r="P88" s="11" t="s">
        <v>517</v>
      </c>
      <c r="Q88" s="5" t="s">
        <v>517</v>
      </c>
      <c r="R88" t="s">
        <v>518</v>
      </c>
      <c r="S88" t="s">
        <v>519</v>
      </c>
      <c r="T88" t="s">
        <v>519</v>
      </c>
      <c r="U88" t="s">
        <v>260</v>
      </c>
      <c r="V88" s="4" t="s">
        <v>520</v>
      </c>
      <c r="W88">
        <v>5468</v>
      </c>
      <c r="X88" s="6" t="s">
        <v>262</v>
      </c>
      <c r="Y88" t="s">
        <v>521</v>
      </c>
    </row>
    <row r="89" spans="1:25" x14ac:dyDescent="0.2">
      <c r="A89">
        <v>154</v>
      </c>
      <c r="B89" t="s">
        <v>161</v>
      </c>
      <c r="C89">
        <v>560.388924734743</v>
      </c>
      <c r="D89">
        <v>351.26188133066</v>
      </c>
      <c r="E89">
        <v>274.86220042480102</v>
      </c>
      <c r="F89">
        <v>723.07095502785796</v>
      </c>
      <c r="G89">
        <v>-50.951528787813601</v>
      </c>
      <c r="H89">
        <v>105.84953661601401</v>
      </c>
      <c r="I89" s="1">
        <v>2.2332217951569601E-7</v>
      </c>
      <c r="J89" s="1">
        <v>7.9571610521282701E-9</v>
      </c>
      <c r="L89">
        <v>2</v>
      </c>
      <c r="M89">
        <f>G89*-1</f>
        <v>50.951528787813601</v>
      </c>
      <c r="N89">
        <v>239</v>
      </c>
      <c r="O89" t="s">
        <v>161</v>
      </c>
      <c r="P89" s="12" t="s">
        <v>161</v>
      </c>
      <c r="Q89" s="9" t="s">
        <v>161</v>
      </c>
      <c r="R89" s="8" t="s">
        <v>361</v>
      </c>
      <c r="S89" s="8" t="s">
        <v>721</v>
      </c>
      <c r="T89" s="8" t="s">
        <v>722</v>
      </c>
      <c r="U89" s="8" t="s">
        <v>364</v>
      </c>
      <c r="V89" s="10" t="s">
        <v>722</v>
      </c>
      <c r="W89" s="8">
        <v>7372</v>
      </c>
      <c r="X89" s="8" t="s">
        <v>262</v>
      </c>
      <c r="Y89" s="8" t="s">
        <v>723</v>
      </c>
    </row>
    <row r="90" spans="1:25" x14ac:dyDescent="0.2">
      <c r="A90">
        <v>137</v>
      </c>
      <c r="B90" t="s">
        <v>144</v>
      </c>
      <c r="C90">
        <v>947.65987868565298</v>
      </c>
      <c r="D90">
        <v>10.854485616968001</v>
      </c>
      <c r="E90">
        <v>860.16918998183098</v>
      </c>
      <c r="F90">
        <v>726.39551848625297</v>
      </c>
      <c r="G90">
        <v>-9.2322879412354393</v>
      </c>
      <c r="H90">
        <v>6592.1229077012304</v>
      </c>
      <c r="I90" t="s">
        <v>9</v>
      </c>
      <c r="J90" t="s">
        <v>9</v>
      </c>
      <c r="L90">
        <v>118</v>
      </c>
      <c r="M90">
        <f>G90*-1</f>
        <v>9.2322879412354393</v>
      </c>
      <c r="N90">
        <v>123</v>
      </c>
      <c r="O90" t="s">
        <v>144</v>
      </c>
      <c r="P90" s="11" t="s">
        <v>602</v>
      </c>
      <c r="Q90" s="5" t="s">
        <v>602</v>
      </c>
      <c r="R90" t="s">
        <v>308</v>
      </c>
      <c r="S90" t="s">
        <v>603</v>
      </c>
      <c r="T90" t="s">
        <v>603</v>
      </c>
      <c r="U90" t="s">
        <v>260</v>
      </c>
      <c r="V90" s="4" t="s">
        <v>604</v>
      </c>
      <c r="W90">
        <v>706</v>
      </c>
      <c r="X90" s="6" t="s">
        <v>262</v>
      </c>
      <c r="Y90" t="s">
        <v>605</v>
      </c>
    </row>
    <row r="91" spans="1:25" x14ac:dyDescent="0.2">
      <c r="A91">
        <v>188</v>
      </c>
      <c r="B91" t="s">
        <v>195</v>
      </c>
      <c r="C91">
        <v>911.70137788199804</v>
      </c>
      <c r="D91">
        <v>6.4340062510428799</v>
      </c>
      <c r="E91">
        <v>616.64724422824702</v>
      </c>
      <c r="F91">
        <v>729.500155728462</v>
      </c>
      <c r="G91">
        <v>-32.363023772016298</v>
      </c>
      <c r="H91">
        <v>11238.194699612201</v>
      </c>
      <c r="I91" t="s">
        <v>9</v>
      </c>
      <c r="J91" t="s">
        <v>9</v>
      </c>
      <c r="L91">
        <v>15</v>
      </c>
      <c r="M91">
        <f>G91*-1</f>
        <v>32.363023772016298</v>
      </c>
      <c r="N91">
        <v>226</v>
      </c>
      <c r="O91" t="s">
        <v>195</v>
      </c>
      <c r="P91" s="11" t="s">
        <v>195</v>
      </c>
      <c r="Q91" s="5" t="s">
        <v>195</v>
      </c>
      <c r="R91" t="s">
        <v>299</v>
      </c>
      <c r="S91" t="s">
        <v>653</v>
      </c>
      <c r="T91" t="s">
        <v>653</v>
      </c>
      <c r="U91" t="s">
        <v>260</v>
      </c>
      <c r="V91" s="4" t="s">
        <v>654</v>
      </c>
      <c r="W91">
        <v>5914</v>
      </c>
      <c r="X91" s="6" t="s">
        <v>262</v>
      </c>
      <c r="Y91" t="s">
        <v>655</v>
      </c>
    </row>
    <row r="92" spans="1:25" x14ac:dyDescent="0.2">
      <c r="A92">
        <v>183</v>
      </c>
      <c r="B92" t="s">
        <v>190</v>
      </c>
      <c r="C92">
        <v>906.36403487862503</v>
      </c>
      <c r="D92">
        <v>21.740986593817201</v>
      </c>
      <c r="E92">
        <v>661.31071067733603</v>
      </c>
      <c r="F92">
        <v>733.12768706873896</v>
      </c>
      <c r="G92">
        <v>-27.036964704155</v>
      </c>
      <c r="H92">
        <v>3272.0994394855602</v>
      </c>
      <c r="I92" s="1">
        <v>8.1526909937115997E-6</v>
      </c>
      <c r="J92" t="s">
        <v>9</v>
      </c>
      <c r="L92">
        <v>31</v>
      </c>
      <c r="M92">
        <f>G92*-1</f>
        <v>27.036964704155</v>
      </c>
      <c r="N92">
        <v>210</v>
      </c>
      <c r="O92" t="s">
        <v>190</v>
      </c>
      <c r="P92" s="11" t="s">
        <v>190</v>
      </c>
      <c r="Q92" s="5" t="s">
        <v>190</v>
      </c>
      <c r="R92" t="s">
        <v>303</v>
      </c>
      <c r="S92" t="s">
        <v>568</v>
      </c>
      <c r="T92" t="s">
        <v>568</v>
      </c>
      <c r="U92" t="s">
        <v>260</v>
      </c>
      <c r="V92" s="4"/>
      <c r="X92" s="6" t="s">
        <v>262</v>
      </c>
    </row>
    <row r="93" spans="1:25" x14ac:dyDescent="0.2">
      <c r="A93">
        <v>173</v>
      </c>
      <c r="B93" t="s">
        <v>180</v>
      </c>
      <c r="C93">
        <v>932.52777023158205</v>
      </c>
      <c r="D93">
        <v>10.9462302182302</v>
      </c>
      <c r="E93">
        <v>698.55965696403905</v>
      </c>
      <c r="F93">
        <v>734.78199648175701</v>
      </c>
      <c r="G93">
        <v>-25.089667110872199</v>
      </c>
      <c r="H93">
        <v>6612.6488465227603</v>
      </c>
      <c r="I93" t="s">
        <v>9</v>
      </c>
      <c r="J93" t="s">
        <v>9</v>
      </c>
      <c r="L93">
        <v>40</v>
      </c>
      <c r="M93">
        <f>G93*-1</f>
        <v>25.089667110872199</v>
      </c>
      <c r="N93">
        <v>201</v>
      </c>
      <c r="O93" t="s">
        <v>180</v>
      </c>
      <c r="P93" s="11" t="s">
        <v>180</v>
      </c>
      <c r="Q93" s="5" t="s">
        <v>180</v>
      </c>
      <c r="R93" t="s">
        <v>406</v>
      </c>
      <c r="S93" t="s">
        <v>595</v>
      </c>
      <c r="T93" t="s">
        <v>595</v>
      </c>
      <c r="U93" t="s">
        <v>260</v>
      </c>
      <c r="V93" s="4" t="s">
        <v>592</v>
      </c>
      <c r="W93">
        <v>7415</v>
      </c>
      <c r="X93" s="6" t="s">
        <v>262</v>
      </c>
      <c r="Y93" t="s">
        <v>593</v>
      </c>
    </row>
    <row r="94" spans="1:25" x14ac:dyDescent="0.2">
      <c r="A94">
        <v>170</v>
      </c>
      <c r="B94" t="s">
        <v>177</v>
      </c>
      <c r="C94">
        <v>933.90723570359398</v>
      </c>
      <c r="D94">
        <v>12.3425606080525</v>
      </c>
      <c r="E94">
        <v>692.96640065126303</v>
      </c>
      <c r="F94">
        <v>735.12138253193098</v>
      </c>
      <c r="G94">
        <v>-25.799225644804999</v>
      </c>
      <c r="H94">
        <v>5855.9876258766499</v>
      </c>
      <c r="I94" t="s">
        <v>9</v>
      </c>
      <c r="J94" t="s">
        <v>9</v>
      </c>
      <c r="L94">
        <v>37</v>
      </c>
      <c r="M94">
        <f>G94*-1</f>
        <v>25.799225644804999</v>
      </c>
      <c r="N94">
        <v>204</v>
      </c>
      <c r="O94" t="s">
        <v>177</v>
      </c>
      <c r="P94" s="11" t="s">
        <v>177</v>
      </c>
      <c r="Q94" s="5" t="s">
        <v>177</v>
      </c>
      <c r="R94" t="s">
        <v>445</v>
      </c>
      <c r="S94" t="s">
        <v>537</v>
      </c>
      <c r="T94" t="s">
        <v>537</v>
      </c>
      <c r="U94" t="s">
        <v>260</v>
      </c>
      <c r="V94" s="4" t="s">
        <v>540</v>
      </c>
      <c r="W94">
        <v>4124</v>
      </c>
      <c r="X94" s="6" t="s">
        <v>262</v>
      </c>
      <c r="Y94" t="s">
        <v>541</v>
      </c>
    </row>
    <row r="95" spans="1:25" x14ac:dyDescent="0.2">
      <c r="A95">
        <v>187</v>
      </c>
      <c r="B95" t="s">
        <v>194</v>
      </c>
      <c r="C95">
        <v>924.76363391963105</v>
      </c>
      <c r="D95">
        <v>12.9907245613957</v>
      </c>
      <c r="E95">
        <v>688.75414763701804</v>
      </c>
      <c r="F95">
        <v>736.82885622450999</v>
      </c>
      <c r="G95">
        <v>-25.5210604770736</v>
      </c>
      <c r="H95">
        <v>5571.9611961763203</v>
      </c>
      <c r="I95" t="s">
        <v>9</v>
      </c>
      <c r="J95" t="s">
        <v>9</v>
      </c>
      <c r="L95">
        <v>38</v>
      </c>
      <c r="M95">
        <f>G95*-1</f>
        <v>25.5210604770736</v>
      </c>
      <c r="N95">
        <v>203</v>
      </c>
      <c r="O95" t="s">
        <v>194</v>
      </c>
      <c r="P95" s="11" t="s">
        <v>669</v>
      </c>
      <c r="Q95" s="5" t="s">
        <v>669</v>
      </c>
      <c r="R95" t="s">
        <v>518</v>
      </c>
      <c r="S95" t="s">
        <v>668</v>
      </c>
      <c r="T95" t="s">
        <v>668</v>
      </c>
      <c r="U95" t="s">
        <v>260</v>
      </c>
      <c r="V95" s="4"/>
      <c r="X95" s="6" t="s">
        <v>262</v>
      </c>
    </row>
    <row r="96" spans="1:25" x14ac:dyDescent="0.2">
      <c r="A96">
        <v>175</v>
      </c>
      <c r="B96" t="s">
        <v>182</v>
      </c>
      <c r="C96">
        <v>930.13372822990505</v>
      </c>
      <c r="D96">
        <v>13.5109358894731</v>
      </c>
      <c r="E96">
        <v>702.58301745766403</v>
      </c>
      <c r="F96">
        <v>737.08606755774497</v>
      </c>
      <c r="G96">
        <v>-24.464300547974101</v>
      </c>
      <c r="H96">
        <v>5355.4775005041602</v>
      </c>
      <c r="I96" t="s">
        <v>9</v>
      </c>
      <c r="J96" t="s">
        <v>9</v>
      </c>
      <c r="L96">
        <v>43</v>
      </c>
      <c r="M96">
        <f>G96*-1</f>
        <v>24.464300547974101</v>
      </c>
      <c r="N96">
        <v>198</v>
      </c>
      <c r="O96" t="s">
        <v>182</v>
      </c>
      <c r="P96" s="11" t="s">
        <v>321</v>
      </c>
      <c r="Q96" s="5" t="s">
        <v>321</v>
      </c>
      <c r="R96" t="s">
        <v>317</v>
      </c>
      <c r="S96" t="s">
        <v>322</v>
      </c>
      <c r="T96" t="s">
        <v>322</v>
      </c>
      <c r="U96" t="s">
        <v>260</v>
      </c>
      <c r="V96" s="4" t="s">
        <v>323</v>
      </c>
      <c r="W96">
        <v>768</v>
      </c>
      <c r="X96" s="6" t="s">
        <v>262</v>
      </c>
      <c r="Y96" t="s">
        <v>324</v>
      </c>
    </row>
    <row r="97" spans="1:25" x14ac:dyDescent="0.2">
      <c r="A97">
        <v>190</v>
      </c>
      <c r="B97" t="s">
        <v>197</v>
      </c>
      <c r="C97">
        <v>914.74760447761605</v>
      </c>
      <c r="D97">
        <v>72.579325252497995</v>
      </c>
      <c r="E97">
        <v>653.99810377083395</v>
      </c>
      <c r="F97">
        <v>737.54280892011195</v>
      </c>
      <c r="G97">
        <v>-28.505076092075502</v>
      </c>
      <c r="H97">
        <v>916.18857209578198</v>
      </c>
      <c r="I97" s="1">
        <v>1.4070125698448201E-5</v>
      </c>
      <c r="J97" t="s">
        <v>9</v>
      </c>
      <c r="L97">
        <v>27</v>
      </c>
      <c r="M97">
        <f>G97*-1</f>
        <v>28.505076092075502</v>
      </c>
      <c r="N97">
        <v>214</v>
      </c>
      <c r="O97" t="s">
        <v>197</v>
      </c>
      <c r="P97" s="12" t="s">
        <v>197</v>
      </c>
      <c r="Q97" s="9" t="s">
        <v>197</v>
      </c>
      <c r="R97" s="8" t="s">
        <v>361</v>
      </c>
      <c r="S97" s="8" t="s">
        <v>391</v>
      </c>
      <c r="T97" s="8" t="s">
        <v>391</v>
      </c>
      <c r="U97" s="8" t="s">
        <v>364</v>
      </c>
      <c r="V97" s="10" t="s">
        <v>391</v>
      </c>
      <c r="W97" s="8">
        <v>1723</v>
      </c>
      <c r="X97" s="8" t="s">
        <v>262</v>
      </c>
      <c r="Y97" s="8" t="s">
        <v>392</v>
      </c>
    </row>
    <row r="98" spans="1:25" x14ac:dyDescent="0.2">
      <c r="A98">
        <v>192</v>
      </c>
      <c r="B98" t="s">
        <v>199</v>
      </c>
      <c r="C98">
        <v>916.39466001453195</v>
      </c>
      <c r="D98">
        <v>13.044140658846</v>
      </c>
      <c r="E98">
        <v>647.07100199248396</v>
      </c>
      <c r="F98">
        <v>737.72988140011603</v>
      </c>
      <c r="G98">
        <v>-29.3894835678961</v>
      </c>
      <c r="H98">
        <v>5555.6418754946199</v>
      </c>
      <c r="I98" t="s">
        <v>9</v>
      </c>
      <c r="J98" t="s">
        <v>9</v>
      </c>
      <c r="L98">
        <v>25</v>
      </c>
      <c r="M98">
        <f>G98*-1</f>
        <v>29.3894835678961</v>
      </c>
      <c r="N98">
        <v>216</v>
      </c>
      <c r="O98" t="s">
        <v>199</v>
      </c>
      <c r="P98" s="11" t="s">
        <v>199</v>
      </c>
      <c r="Q98" s="5" t="s">
        <v>199</v>
      </c>
      <c r="R98" t="s">
        <v>258</v>
      </c>
      <c r="S98" t="s">
        <v>422</v>
      </c>
      <c r="T98" t="s">
        <v>422</v>
      </c>
      <c r="U98" t="s">
        <v>260</v>
      </c>
      <c r="V98" s="4" t="s">
        <v>422</v>
      </c>
      <c r="W98">
        <v>355</v>
      </c>
      <c r="X98" s="6" t="s">
        <v>262</v>
      </c>
      <c r="Y98" t="s">
        <v>423</v>
      </c>
    </row>
    <row r="99" spans="1:25" x14ac:dyDescent="0.2">
      <c r="A99">
        <v>177</v>
      </c>
      <c r="B99" t="s">
        <v>184</v>
      </c>
      <c r="C99">
        <v>928.08962371622897</v>
      </c>
      <c r="D99">
        <v>12.0279916481594</v>
      </c>
      <c r="E99">
        <v>683.07068162568999</v>
      </c>
      <c r="F99">
        <v>738.12941848098296</v>
      </c>
      <c r="G99">
        <v>-26.400353568165301</v>
      </c>
      <c r="H99">
        <v>6036.7636432798399</v>
      </c>
      <c r="I99" t="s">
        <v>9</v>
      </c>
      <c r="J99" t="s">
        <v>9</v>
      </c>
      <c r="L99">
        <v>33</v>
      </c>
      <c r="M99">
        <f>G99*-1</f>
        <v>26.400353568165301</v>
      </c>
      <c r="N99">
        <v>208</v>
      </c>
      <c r="O99" t="s">
        <v>184</v>
      </c>
      <c r="P99" s="11" t="s">
        <v>184</v>
      </c>
      <c r="Q99" s="5" t="s">
        <v>184</v>
      </c>
      <c r="R99" t="s">
        <v>258</v>
      </c>
      <c r="S99" t="s">
        <v>286</v>
      </c>
      <c r="T99" t="s">
        <v>286</v>
      </c>
      <c r="U99" t="s">
        <v>260</v>
      </c>
      <c r="V99" s="4" t="s">
        <v>286</v>
      </c>
      <c r="W99">
        <v>240</v>
      </c>
      <c r="X99" s="6" t="s">
        <v>262</v>
      </c>
      <c r="Y99" t="s">
        <v>287</v>
      </c>
    </row>
    <row r="100" spans="1:25" x14ac:dyDescent="0.2">
      <c r="A100">
        <v>179</v>
      </c>
      <c r="B100" t="s">
        <v>186</v>
      </c>
      <c r="C100">
        <v>921.05608042124402</v>
      </c>
      <c r="D100">
        <v>11.7550804914541</v>
      </c>
      <c r="E100">
        <v>677.67990696838103</v>
      </c>
      <c r="F100">
        <v>740.993517375088</v>
      </c>
      <c r="G100">
        <v>-26.423599889982299</v>
      </c>
      <c r="H100">
        <v>6203.6022417182803</v>
      </c>
      <c r="I100" t="s">
        <v>9</v>
      </c>
      <c r="J100" t="s">
        <v>9</v>
      </c>
      <c r="L100">
        <v>32</v>
      </c>
      <c r="M100">
        <f>G100*-1</f>
        <v>26.423599889982299</v>
      </c>
      <c r="N100">
        <v>209</v>
      </c>
      <c r="O100" t="s">
        <v>186</v>
      </c>
      <c r="P100" s="11" t="s">
        <v>513</v>
      </c>
      <c r="Q100" s="5" t="s">
        <v>513</v>
      </c>
      <c r="R100" t="s">
        <v>258</v>
      </c>
      <c r="S100" t="s">
        <v>514</v>
      </c>
      <c r="T100" t="s">
        <v>514</v>
      </c>
      <c r="U100" t="s">
        <v>260</v>
      </c>
      <c r="V100" s="4" t="s">
        <v>515</v>
      </c>
      <c r="W100">
        <v>3612</v>
      </c>
      <c r="X100" s="6" t="s">
        <v>262</v>
      </c>
      <c r="Y100" t="s">
        <v>516</v>
      </c>
    </row>
    <row r="101" spans="1:25" x14ac:dyDescent="0.2">
      <c r="A101">
        <v>186</v>
      </c>
      <c r="B101" t="s">
        <v>193</v>
      </c>
      <c r="C101">
        <v>912.45527588970799</v>
      </c>
      <c r="D101">
        <v>15.1702640536929</v>
      </c>
      <c r="E101">
        <v>689.79925356602496</v>
      </c>
      <c r="F101">
        <v>741.33141491563504</v>
      </c>
      <c r="G101">
        <v>-24.4018559821004</v>
      </c>
      <c r="H101">
        <v>4786.7403513333802</v>
      </c>
      <c r="I101" t="s">
        <v>9</v>
      </c>
      <c r="J101" t="s">
        <v>9</v>
      </c>
      <c r="L101">
        <v>45</v>
      </c>
      <c r="M101">
        <f>G101*-1</f>
        <v>24.4018559821004</v>
      </c>
      <c r="N101">
        <v>196</v>
      </c>
      <c r="O101" t="s">
        <v>193</v>
      </c>
      <c r="P101" s="11" t="s">
        <v>697</v>
      </c>
      <c r="Q101" s="5" t="s">
        <v>697</v>
      </c>
      <c r="R101" t="s">
        <v>258</v>
      </c>
      <c r="S101" t="s">
        <v>695</v>
      </c>
      <c r="T101" t="s">
        <v>695</v>
      </c>
      <c r="U101" t="s">
        <v>260</v>
      </c>
      <c r="V101" s="4" t="s">
        <v>695</v>
      </c>
      <c r="W101">
        <v>6713</v>
      </c>
      <c r="X101" s="6" t="s">
        <v>262</v>
      </c>
      <c r="Y101" t="s">
        <v>696</v>
      </c>
    </row>
    <row r="102" spans="1:25" x14ac:dyDescent="0.2">
      <c r="A102">
        <v>191</v>
      </c>
      <c r="B102" t="s">
        <v>198</v>
      </c>
      <c r="C102">
        <v>917.87778956802595</v>
      </c>
      <c r="D102">
        <v>12.458190398295301</v>
      </c>
      <c r="E102">
        <v>695.450824037139</v>
      </c>
      <c r="F102">
        <v>742.25913330727894</v>
      </c>
      <c r="G102">
        <v>-24.232742970669999</v>
      </c>
      <c r="H102">
        <v>5858.0011990252297</v>
      </c>
      <c r="I102" t="s">
        <v>9</v>
      </c>
      <c r="J102" t="s">
        <v>9</v>
      </c>
      <c r="L102">
        <v>46</v>
      </c>
      <c r="M102">
        <f>G102*-1</f>
        <v>24.232742970669999</v>
      </c>
      <c r="N102">
        <v>195</v>
      </c>
      <c r="O102" t="s">
        <v>198</v>
      </c>
      <c r="P102" s="11" t="s">
        <v>325</v>
      </c>
      <c r="Q102" s="5" t="s">
        <v>325</v>
      </c>
      <c r="R102" t="s">
        <v>258</v>
      </c>
      <c r="S102" t="s">
        <v>326</v>
      </c>
      <c r="T102" t="s">
        <v>326</v>
      </c>
      <c r="U102" t="s">
        <v>260</v>
      </c>
      <c r="V102" s="4" t="s">
        <v>327</v>
      </c>
      <c r="W102">
        <v>1066</v>
      </c>
      <c r="X102" s="6" t="s">
        <v>262</v>
      </c>
      <c r="Y102" t="s">
        <v>328</v>
      </c>
    </row>
    <row r="103" spans="1:25" x14ac:dyDescent="0.2">
      <c r="A103">
        <v>150</v>
      </c>
      <c r="B103" t="s">
        <v>157</v>
      </c>
      <c r="C103">
        <v>942.18599913641299</v>
      </c>
      <c r="D103">
        <v>22.2453972805646</v>
      </c>
      <c r="E103">
        <v>639.71476914776395</v>
      </c>
      <c r="F103">
        <v>742.54743437996103</v>
      </c>
      <c r="G103">
        <v>-32.103133592081299</v>
      </c>
      <c r="H103">
        <v>3237.9823476054999</v>
      </c>
      <c r="I103" t="s">
        <v>9</v>
      </c>
      <c r="J103" t="s">
        <v>9</v>
      </c>
      <c r="L103">
        <v>17</v>
      </c>
      <c r="M103">
        <f>G103*-1</f>
        <v>32.103133592081299</v>
      </c>
      <c r="N103">
        <v>224</v>
      </c>
      <c r="O103" t="s">
        <v>157</v>
      </c>
      <c r="P103" s="11" t="s">
        <v>711</v>
      </c>
      <c r="Q103" s="5" t="s">
        <v>711</v>
      </c>
      <c r="R103" t="s">
        <v>303</v>
      </c>
      <c r="S103" t="s">
        <v>712</v>
      </c>
      <c r="T103" t="s">
        <v>712</v>
      </c>
      <c r="U103" t="s">
        <v>260</v>
      </c>
      <c r="V103" s="4" t="s">
        <v>712</v>
      </c>
      <c r="W103">
        <v>7295</v>
      </c>
      <c r="X103" s="6" t="s">
        <v>262</v>
      </c>
      <c r="Y103" t="s">
        <v>713</v>
      </c>
    </row>
    <row r="104" spans="1:25" x14ac:dyDescent="0.2">
      <c r="A104">
        <v>174</v>
      </c>
      <c r="B104" t="s">
        <v>181</v>
      </c>
      <c r="C104">
        <v>915.02243692173897</v>
      </c>
      <c r="D104">
        <v>13.6258960048003</v>
      </c>
      <c r="E104">
        <v>675.02912006086694</v>
      </c>
      <c r="F104">
        <v>744.606529209668</v>
      </c>
      <c r="G104">
        <v>-26.228134652986501</v>
      </c>
      <c r="H104">
        <v>5364.6426843955696</v>
      </c>
      <c r="I104" s="1">
        <v>1.6746302164988599E-5</v>
      </c>
      <c r="J104">
        <v>1.0070816972564799E-2</v>
      </c>
      <c r="L104">
        <v>34</v>
      </c>
      <c r="M104">
        <f>G104*-1</f>
        <v>26.228134652986501</v>
      </c>
      <c r="N104">
        <v>207</v>
      </c>
      <c r="O104" t="s">
        <v>181</v>
      </c>
      <c r="P104" s="11" t="s">
        <v>542</v>
      </c>
      <c r="Q104" s="5" t="s">
        <v>542</v>
      </c>
      <c r="R104" t="s">
        <v>445</v>
      </c>
      <c r="S104" t="s">
        <v>537</v>
      </c>
      <c r="T104" t="s">
        <v>537</v>
      </c>
      <c r="U104" t="s">
        <v>260</v>
      </c>
      <c r="V104" s="4" t="s">
        <v>543</v>
      </c>
      <c r="W104">
        <v>151306</v>
      </c>
      <c r="X104" s="6" t="s">
        <v>262</v>
      </c>
      <c r="Y104" t="s">
        <v>544</v>
      </c>
    </row>
    <row r="105" spans="1:25" x14ac:dyDescent="0.2">
      <c r="A105">
        <v>178</v>
      </c>
      <c r="B105" t="s">
        <v>185</v>
      </c>
      <c r="C105">
        <v>922.64045592492596</v>
      </c>
      <c r="D105">
        <v>13.299746963732799</v>
      </c>
      <c r="E105">
        <v>684.287640454913</v>
      </c>
      <c r="F105">
        <v>744.897828016826</v>
      </c>
      <c r="G105">
        <v>-25.833770234047499</v>
      </c>
      <c r="H105">
        <v>5500.8421066062001</v>
      </c>
      <c r="I105" t="s">
        <v>9</v>
      </c>
      <c r="J105" t="s">
        <v>9</v>
      </c>
      <c r="L105">
        <v>36</v>
      </c>
      <c r="M105">
        <f>G105*-1</f>
        <v>25.833770234047499</v>
      </c>
      <c r="N105">
        <v>205</v>
      </c>
      <c r="O105" t="s">
        <v>185</v>
      </c>
      <c r="P105" s="11" t="s">
        <v>185</v>
      </c>
      <c r="Q105" s="5" t="s">
        <v>185</v>
      </c>
      <c r="R105" t="s">
        <v>303</v>
      </c>
      <c r="S105" t="s">
        <v>468</v>
      </c>
      <c r="T105" t="s">
        <v>468</v>
      </c>
      <c r="U105" t="s">
        <v>260</v>
      </c>
      <c r="V105" s="4" t="s">
        <v>469</v>
      </c>
      <c r="W105">
        <v>2950</v>
      </c>
      <c r="X105" s="6" t="s">
        <v>262</v>
      </c>
      <c r="Y105" t="s">
        <v>470</v>
      </c>
    </row>
    <row r="106" spans="1:25" x14ac:dyDescent="0.2">
      <c r="A106">
        <v>182</v>
      </c>
      <c r="B106" t="s">
        <v>189</v>
      </c>
      <c r="C106">
        <v>921.84836401310997</v>
      </c>
      <c r="D106">
        <v>13.175510126546801</v>
      </c>
      <c r="E106">
        <v>689.60146785424195</v>
      </c>
      <c r="F106">
        <v>745.69386413806399</v>
      </c>
      <c r="G106">
        <v>-25.193611577051701</v>
      </c>
      <c r="H106">
        <v>5559.69633794743</v>
      </c>
      <c r="I106" t="s">
        <v>9</v>
      </c>
      <c r="J106" t="s">
        <v>9</v>
      </c>
      <c r="L106">
        <v>39</v>
      </c>
      <c r="M106">
        <f>G106*-1</f>
        <v>25.193611577051701</v>
      </c>
      <c r="N106">
        <v>202</v>
      </c>
      <c r="O106" t="s">
        <v>189</v>
      </c>
      <c r="P106" s="11" t="s">
        <v>636</v>
      </c>
      <c r="Q106" s="5" t="s">
        <v>636</v>
      </c>
      <c r="R106" t="s">
        <v>414</v>
      </c>
      <c r="S106" t="s">
        <v>637</v>
      </c>
      <c r="T106" t="s">
        <v>637</v>
      </c>
      <c r="U106" t="s">
        <v>260</v>
      </c>
      <c r="V106" s="4" t="s">
        <v>634</v>
      </c>
      <c r="W106">
        <v>5315</v>
      </c>
      <c r="X106" s="6" t="s">
        <v>262</v>
      </c>
      <c r="Y106" t="s">
        <v>635</v>
      </c>
    </row>
    <row r="107" spans="1:25" x14ac:dyDescent="0.2">
      <c r="A107">
        <v>176</v>
      </c>
      <c r="B107" t="s">
        <v>183</v>
      </c>
      <c r="C107">
        <v>932.29827250285598</v>
      </c>
      <c r="D107">
        <v>9.9647362181286692</v>
      </c>
      <c r="E107">
        <v>652.88300650839994</v>
      </c>
      <c r="F107">
        <v>745.77642098425304</v>
      </c>
      <c r="G107">
        <v>-29.970587121687501</v>
      </c>
      <c r="H107">
        <v>7384.1561749268903</v>
      </c>
      <c r="I107" t="s">
        <v>9</v>
      </c>
      <c r="J107">
        <v>7.71936457226301E-2</v>
      </c>
      <c r="L107">
        <v>23</v>
      </c>
      <c r="M107">
        <f>G107*-1</f>
        <v>29.970587121687501</v>
      </c>
      <c r="N107">
        <v>218</v>
      </c>
      <c r="O107" t="s">
        <v>183</v>
      </c>
      <c r="P107" s="11" t="s">
        <v>183</v>
      </c>
      <c r="Q107" s="5" t="s">
        <v>183</v>
      </c>
      <c r="R107" t="s">
        <v>299</v>
      </c>
      <c r="S107" t="s">
        <v>346</v>
      </c>
      <c r="T107" t="s">
        <v>346</v>
      </c>
      <c r="U107" t="s">
        <v>260</v>
      </c>
      <c r="V107" s="4" t="s">
        <v>346</v>
      </c>
      <c r="W107">
        <v>1312</v>
      </c>
      <c r="X107" s="6" t="s">
        <v>262</v>
      </c>
      <c r="Y107" t="s">
        <v>347</v>
      </c>
    </row>
    <row r="108" spans="1:25" x14ac:dyDescent="0.2">
      <c r="A108">
        <v>165</v>
      </c>
      <c r="B108" t="s">
        <v>172</v>
      </c>
      <c r="C108">
        <v>947.084962929683</v>
      </c>
      <c r="D108">
        <v>10.312588931251801</v>
      </c>
      <c r="E108">
        <v>650.388599064044</v>
      </c>
      <c r="F108">
        <v>747.18857787346303</v>
      </c>
      <c r="G108">
        <v>-31.3273228357303</v>
      </c>
      <c r="H108">
        <v>7145.4025158429704</v>
      </c>
      <c r="I108" t="s">
        <v>9</v>
      </c>
      <c r="J108" t="s">
        <v>9</v>
      </c>
      <c r="L108">
        <v>20</v>
      </c>
      <c r="M108">
        <f>G108*-1</f>
        <v>31.3273228357303</v>
      </c>
      <c r="N108">
        <v>221</v>
      </c>
      <c r="O108" t="s">
        <v>172</v>
      </c>
      <c r="P108" s="11" t="s">
        <v>172</v>
      </c>
      <c r="Q108" s="5" t="s">
        <v>172</v>
      </c>
      <c r="R108" t="s">
        <v>303</v>
      </c>
      <c r="S108" t="s">
        <v>729</v>
      </c>
      <c r="T108" t="s">
        <v>729</v>
      </c>
      <c r="U108" t="s">
        <v>260</v>
      </c>
      <c r="V108" s="4"/>
      <c r="X108" s="6" t="s">
        <v>262</v>
      </c>
    </row>
    <row r="109" spans="1:25" x14ac:dyDescent="0.2">
      <c r="A109">
        <v>152</v>
      </c>
      <c r="B109" t="s">
        <v>159</v>
      </c>
      <c r="C109">
        <v>924.18173037791098</v>
      </c>
      <c r="D109">
        <v>11.7138306275153</v>
      </c>
      <c r="E109">
        <v>630.16379651493196</v>
      </c>
      <c r="F109">
        <v>748.15173268858996</v>
      </c>
      <c r="G109">
        <v>-31.813865628219201</v>
      </c>
      <c r="H109">
        <v>6286.9092569189997</v>
      </c>
      <c r="I109" t="s">
        <v>9</v>
      </c>
      <c r="J109" t="s">
        <v>9</v>
      </c>
      <c r="L109">
        <v>18</v>
      </c>
      <c r="M109">
        <f>G109*-1</f>
        <v>31.813865628219201</v>
      </c>
      <c r="N109">
        <v>223</v>
      </c>
      <c r="O109" t="s">
        <v>159</v>
      </c>
      <c r="P109" s="11" t="s">
        <v>159</v>
      </c>
      <c r="Q109" s="5" t="s">
        <v>159</v>
      </c>
      <c r="R109" t="s">
        <v>308</v>
      </c>
      <c r="S109" t="s">
        <v>678</v>
      </c>
      <c r="T109" t="s">
        <v>678</v>
      </c>
      <c r="U109" t="s">
        <v>260</v>
      </c>
      <c r="V109" s="4" t="s">
        <v>678</v>
      </c>
      <c r="W109">
        <v>23411</v>
      </c>
      <c r="X109" s="6" t="s">
        <v>262</v>
      </c>
      <c r="Y109" t="s">
        <v>679</v>
      </c>
    </row>
    <row r="110" spans="1:25" ht="17" customHeight="1" x14ac:dyDescent="0.2">
      <c r="A110">
        <v>180</v>
      </c>
      <c r="B110" t="s">
        <v>187</v>
      </c>
      <c r="C110">
        <v>917.05537235456995</v>
      </c>
      <c r="D110">
        <v>10.4026159571695</v>
      </c>
      <c r="E110">
        <v>658.86062226564002</v>
      </c>
      <c r="F110">
        <v>748.875815078708</v>
      </c>
      <c r="G110">
        <v>-28.1547611924465</v>
      </c>
      <c r="H110">
        <v>7098.9182159760803</v>
      </c>
      <c r="I110" t="s">
        <v>9</v>
      </c>
      <c r="J110" t="s">
        <v>9</v>
      </c>
      <c r="L110">
        <v>29</v>
      </c>
      <c r="M110">
        <f>G110*-1</f>
        <v>28.1547611924465</v>
      </c>
      <c r="N110">
        <v>212</v>
      </c>
      <c r="O110" t="s">
        <v>187</v>
      </c>
      <c r="P110" s="11" t="s">
        <v>187</v>
      </c>
      <c r="Q110" s="5" t="s">
        <v>187</v>
      </c>
      <c r="R110" t="s">
        <v>258</v>
      </c>
      <c r="S110" t="s">
        <v>301</v>
      </c>
      <c r="T110" t="s">
        <v>301</v>
      </c>
      <c r="U110" t="s">
        <v>260</v>
      </c>
      <c r="V110" s="4" t="s">
        <v>301</v>
      </c>
      <c r="W110">
        <v>1071</v>
      </c>
      <c r="X110" s="6" t="s">
        <v>262</v>
      </c>
      <c r="Y110" t="s">
        <v>302</v>
      </c>
    </row>
    <row r="111" spans="1:25" x14ac:dyDescent="0.2">
      <c r="A111">
        <v>146</v>
      </c>
      <c r="B111" t="s">
        <v>153</v>
      </c>
      <c r="C111">
        <v>921.53718850132304</v>
      </c>
      <c r="D111">
        <v>15.716454273278901</v>
      </c>
      <c r="E111">
        <v>618.39297762414799</v>
      </c>
      <c r="F111">
        <v>750.21235339962698</v>
      </c>
      <c r="G111">
        <v>-32.895494035370596</v>
      </c>
      <c r="H111">
        <v>4673.4198843764398</v>
      </c>
      <c r="I111" t="s">
        <v>9</v>
      </c>
      <c r="J111" t="s">
        <v>9</v>
      </c>
      <c r="L111">
        <v>14</v>
      </c>
      <c r="M111">
        <f>G111*-1</f>
        <v>32.895494035370596</v>
      </c>
      <c r="N111">
        <v>227</v>
      </c>
      <c r="O111" t="s">
        <v>153</v>
      </c>
      <c r="P111" s="11" t="s">
        <v>483</v>
      </c>
      <c r="Q111" s="5" t="s">
        <v>483</v>
      </c>
      <c r="R111" t="s">
        <v>258</v>
      </c>
      <c r="S111" t="s">
        <v>484</v>
      </c>
      <c r="T111" t="s">
        <v>484</v>
      </c>
      <c r="U111" t="s">
        <v>260</v>
      </c>
      <c r="V111" s="4" t="s">
        <v>484</v>
      </c>
      <c r="W111">
        <v>3156</v>
      </c>
      <c r="X111" s="6" t="s">
        <v>262</v>
      </c>
      <c r="Y111" t="s">
        <v>485</v>
      </c>
    </row>
    <row r="112" spans="1:25" x14ac:dyDescent="0.2">
      <c r="A112">
        <v>159</v>
      </c>
      <c r="B112" t="s">
        <v>166</v>
      </c>
      <c r="C112">
        <v>933.90397135921103</v>
      </c>
      <c r="D112">
        <v>12.4697628469489</v>
      </c>
      <c r="E112">
        <v>666.66876419381094</v>
      </c>
      <c r="F112">
        <v>750.84518316825995</v>
      </c>
      <c r="G112">
        <v>-28.614848566974601</v>
      </c>
      <c r="H112">
        <v>5921.3268879606203</v>
      </c>
      <c r="I112" t="s">
        <v>9</v>
      </c>
      <c r="J112" t="s">
        <v>9</v>
      </c>
      <c r="L112">
        <v>26</v>
      </c>
      <c r="M112">
        <f>G112*-1</f>
        <v>28.614848566974601</v>
      </c>
      <c r="N112">
        <v>215</v>
      </c>
      <c r="O112" t="s">
        <v>166</v>
      </c>
      <c r="P112" s="11" t="s">
        <v>257</v>
      </c>
      <c r="Q112" s="5" t="s">
        <v>257</v>
      </c>
      <c r="R112" t="s">
        <v>258</v>
      </c>
      <c r="S112" t="s">
        <v>259</v>
      </c>
      <c r="T112" t="s">
        <v>259</v>
      </c>
      <c r="U112" t="s">
        <v>260</v>
      </c>
      <c r="V112" s="4" t="s">
        <v>261</v>
      </c>
      <c r="W112">
        <v>9415</v>
      </c>
      <c r="X112" s="6" t="s">
        <v>262</v>
      </c>
      <c r="Y112" t="s">
        <v>263</v>
      </c>
    </row>
    <row r="113" spans="1:25" x14ac:dyDescent="0.2">
      <c r="A113">
        <v>164</v>
      </c>
      <c r="B113" t="s">
        <v>171</v>
      </c>
      <c r="C113">
        <v>923.02222274367705</v>
      </c>
      <c r="D113">
        <v>9.1809489029031397</v>
      </c>
      <c r="E113">
        <v>586.84288368339196</v>
      </c>
      <c r="F113">
        <v>750.90675695633104</v>
      </c>
      <c r="G113">
        <v>-36.421586693871099</v>
      </c>
      <c r="H113">
        <v>8078.9667375110203</v>
      </c>
      <c r="I113" t="s">
        <v>9</v>
      </c>
      <c r="J113">
        <v>0.93639301636105599</v>
      </c>
      <c r="L113">
        <v>7</v>
      </c>
      <c r="M113">
        <f>G113*-1</f>
        <v>36.421586693871099</v>
      </c>
      <c r="N113">
        <v>234</v>
      </c>
      <c r="O113" t="s">
        <v>171</v>
      </c>
      <c r="P113" s="11" t="s">
        <v>639</v>
      </c>
      <c r="Q113" s="5" t="s">
        <v>639</v>
      </c>
      <c r="R113" t="s">
        <v>258</v>
      </c>
      <c r="S113" t="s">
        <v>640</v>
      </c>
      <c r="T113" t="s">
        <v>640</v>
      </c>
      <c r="U113" t="s">
        <v>260</v>
      </c>
      <c r="V113" s="4" t="s">
        <v>641</v>
      </c>
      <c r="W113">
        <v>5465</v>
      </c>
      <c r="X113" s="6" t="s">
        <v>262</v>
      </c>
      <c r="Y113" t="s">
        <v>642</v>
      </c>
    </row>
    <row r="114" spans="1:25" x14ac:dyDescent="0.2">
      <c r="A114">
        <v>161</v>
      </c>
      <c r="B114" t="s">
        <v>168</v>
      </c>
      <c r="C114">
        <v>930.81780403948505</v>
      </c>
      <c r="D114">
        <v>8.4967213915176796</v>
      </c>
      <c r="E114">
        <v>598.14347541222605</v>
      </c>
      <c r="F114">
        <v>752.70289679548205</v>
      </c>
      <c r="G114">
        <v>-35.740004884258497</v>
      </c>
      <c r="H114">
        <v>8758.7451807812504</v>
      </c>
      <c r="I114" t="s">
        <v>9</v>
      </c>
      <c r="J114">
        <v>5909.8702875945401</v>
      </c>
      <c r="L114">
        <v>8</v>
      </c>
      <c r="M114">
        <f>G114*-1</f>
        <v>35.740004884258497</v>
      </c>
      <c r="N114">
        <v>233</v>
      </c>
      <c r="O114" t="s">
        <v>168</v>
      </c>
      <c r="P114" s="11" t="s">
        <v>168</v>
      </c>
      <c r="Q114" s="5" t="s">
        <v>168</v>
      </c>
      <c r="R114" t="s">
        <v>518</v>
      </c>
      <c r="S114" t="s">
        <v>741</v>
      </c>
      <c r="T114" t="s">
        <v>741</v>
      </c>
      <c r="U114" t="s">
        <v>260</v>
      </c>
      <c r="V114" s="4" t="s">
        <v>733</v>
      </c>
      <c r="W114">
        <v>23657</v>
      </c>
      <c r="X114" s="6" t="s">
        <v>262</v>
      </c>
      <c r="Y114" t="s">
        <v>734</v>
      </c>
    </row>
    <row r="115" spans="1:25" x14ac:dyDescent="0.2">
      <c r="A115">
        <v>148</v>
      </c>
      <c r="B115" t="s">
        <v>155</v>
      </c>
      <c r="C115">
        <v>917.94814204414797</v>
      </c>
      <c r="D115">
        <v>10.3817571058759</v>
      </c>
      <c r="E115">
        <v>614.21549984458795</v>
      </c>
      <c r="F115">
        <v>752.83411218045899</v>
      </c>
      <c r="G115">
        <v>-33.088213624267198</v>
      </c>
      <c r="H115">
        <v>7151.5095903598803</v>
      </c>
      <c r="I115" t="s">
        <v>9</v>
      </c>
      <c r="J115" t="s">
        <v>9</v>
      </c>
      <c r="L115">
        <v>11</v>
      </c>
      <c r="M115">
        <f>G115*-1</f>
        <v>33.088213624267198</v>
      </c>
      <c r="N115">
        <v>230</v>
      </c>
      <c r="O115" t="s">
        <v>155</v>
      </c>
      <c r="P115" s="11" t="s">
        <v>688</v>
      </c>
      <c r="Q115" s="5" t="s">
        <v>688</v>
      </c>
      <c r="R115" t="s">
        <v>518</v>
      </c>
      <c r="S115" t="s">
        <v>687</v>
      </c>
      <c r="T115" t="s">
        <v>687</v>
      </c>
      <c r="U115" t="s">
        <v>260</v>
      </c>
      <c r="V115" s="4"/>
      <c r="X115" s="6" t="s">
        <v>262</v>
      </c>
    </row>
    <row r="116" spans="1:25" x14ac:dyDescent="0.2">
      <c r="A116">
        <v>169</v>
      </c>
      <c r="B116" t="s">
        <v>176</v>
      </c>
      <c r="C116">
        <v>928.19299324534597</v>
      </c>
      <c r="D116">
        <v>9.8434997358024301</v>
      </c>
      <c r="E116">
        <v>578.18246432478497</v>
      </c>
      <c r="F116">
        <v>754.27187672679702</v>
      </c>
      <c r="G116">
        <v>-37.708809640630797</v>
      </c>
      <c r="H116">
        <v>7562.6392743567203</v>
      </c>
      <c r="I116" t="s">
        <v>9</v>
      </c>
      <c r="J116">
        <v>2.0475327943282998E-2</v>
      </c>
      <c r="L116">
        <v>5</v>
      </c>
      <c r="M116">
        <f>G116*-1</f>
        <v>37.708809640630797</v>
      </c>
      <c r="N116">
        <v>236</v>
      </c>
      <c r="O116" t="s">
        <v>176</v>
      </c>
      <c r="P116" s="11" t="s">
        <v>176</v>
      </c>
      <c r="Q116" s="5" t="s">
        <v>176</v>
      </c>
      <c r="R116" t="s">
        <v>299</v>
      </c>
      <c r="S116" t="s">
        <v>354</v>
      </c>
      <c r="T116" t="s">
        <v>354</v>
      </c>
      <c r="U116" t="s">
        <v>260</v>
      </c>
      <c r="V116" s="4" t="s">
        <v>354</v>
      </c>
      <c r="W116">
        <v>4513</v>
      </c>
      <c r="X116" s="6" t="s">
        <v>262</v>
      </c>
      <c r="Y116" t="s">
        <v>355</v>
      </c>
    </row>
    <row r="117" spans="1:25" ht="17" customHeight="1" x14ac:dyDescent="0.2">
      <c r="A117">
        <v>155</v>
      </c>
      <c r="B117" t="s">
        <v>162</v>
      </c>
      <c r="C117">
        <v>925.92017975982799</v>
      </c>
      <c r="D117">
        <v>12.3096497955211</v>
      </c>
      <c r="E117">
        <v>633.49722089153499</v>
      </c>
      <c r="F117">
        <v>755.12358395904096</v>
      </c>
      <c r="G117">
        <v>-31.581875550454502</v>
      </c>
      <c r="H117">
        <v>6034.4034680319901</v>
      </c>
      <c r="I117" t="s">
        <v>9</v>
      </c>
      <c r="J117" t="s">
        <v>9</v>
      </c>
      <c r="L117">
        <v>19</v>
      </c>
      <c r="M117">
        <f>G117*-1</f>
        <v>31.581875550454502</v>
      </c>
      <c r="N117">
        <v>222</v>
      </c>
      <c r="O117" t="s">
        <v>162</v>
      </c>
      <c r="P117" s="11" t="s">
        <v>272</v>
      </c>
      <c r="Q117" s="5" t="s">
        <v>272</v>
      </c>
      <c r="R117" t="s">
        <v>258</v>
      </c>
      <c r="S117" t="s">
        <v>273</v>
      </c>
      <c r="T117" t="s">
        <v>273</v>
      </c>
      <c r="U117" t="s">
        <v>260</v>
      </c>
      <c r="V117" s="7" t="s">
        <v>273</v>
      </c>
      <c r="W117" s="6">
        <v>47</v>
      </c>
      <c r="X117" s="6" t="s">
        <v>262</v>
      </c>
      <c r="Y117" s="6" t="s">
        <v>274</v>
      </c>
    </row>
    <row r="118" spans="1:25" x14ac:dyDescent="0.2">
      <c r="A118">
        <v>167</v>
      </c>
      <c r="B118" t="s">
        <v>174</v>
      </c>
      <c r="C118">
        <v>922.20072344538505</v>
      </c>
      <c r="D118">
        <v>13.1180860905102</v>
      </c>
      <c r="E118">
        <v>639.48838641273403</v>
      </c>
      <c r="F118">
        <v>755.50000797667894</v>
      </c>
      <c r="G118">
        <v>-30.6562692747003</v>
      </c>
      <c r="H118">
        <v>5659.22434693593</v>
      </c>
      <c r="I118" t="s">
        <v>9</v>
      </c>
      <c r="J118" t="s">
        <v>9</v>
      </c>
      <c r="L118">
        <v>21</v>
      </c>
      <c r="M118">
        <f>G118*-1</f>
        <v>30.6562692747003</v>
      </c>
      <c r="N118">
        <v>220</v>
      </c>
      <c r="O118" t="s">
        <v>174</v>
      </c>
      <c r="P118" s="11" t="s">
        <v>342</v>
      </c>
      <c r="Q118" s="5" t="s">
        <v>342</v>
      </c>
      <c r="R118" t="s">
        <v>308</v>
      </c>
      <c r="S118" t="s">
        <v>343</v>
      </c>
      <c r="T118" t="s">
        <v>343</v>
      </c>
      <c r="U118" t="s">
        <v>260</v>
      </c>
      <c r="V118" s="4" t="s">
        <v>344</v>
      </c>
      <c r="W118">
        <v>1351</v>
      </c>
      <c r="X118" s="6" t="s">
        <v>262</v>
      </c>
      <c r="Y118" t="s">
        <v>345</v>
      </c>
    </row>
    <row r="119" spans="1:25" ht="16" customHeight="1" x14ac:dyDescent="0.2">
      <c r="A119">
        <v>156</v>
      </c>
      <c r="B119" t="s">
        <v>163</v>
      </c>
      <c r="C119">
        <v>917.72642619484895</v>
      </c>
      <c r="D119">
        <v>11.2333649972774</v>
      </c>
      <c r="E119">
        <v>607.46393983723101</v>
      </c>
      <c r="F119">
        <v>757.16628527139005</v>
      </c>
      <c r="G119">
        <v>-33.807731531067802</v>
      </c>
      <c r="H119">
        <v>6640.3336885688404</v>
      </c>
      <c r="I119" t="s">
        <v>9</v>
      </c>
      <c r="J119" t="s">
        <v>9</v>
      </c>
      <c r="L119">
        <v>10</v>
      </c>
      <c r="M119">
        <f>G119*-1</f>
        <v>33.807731531067802</v>
      </c>
      <c r="N119">
        <v>231</v>
      </c>
      <c r="O119" t="s">
        <v>163</v>
      </c>
      <c r="P119" s="11" t="s">
        <v>163</v>
      </c>
      <c r="Q119" s="5" t="s">
        <v>163</v>
      </c>
      <c r="R119" t="s">
        <v>445</v>
      </c>
      <c r="S119" t="s">
        <v>446</v>
      </c>
      <c r="T119" t="s">
        <v>446</v>
      </c>
      <c r="U119" t="s">
        <v>260</v>
      </c>
      <c r="V119" s="4" t="s">
        <v>447</v>
      </c>
      <c r="W119">
        <v>8972</v>
      </c>
      <c r="X119" s="6" t="s">
        <v>262</v>
      </c>
      <c r="Y119" t="s">
        <v>448</v>
      </c>
    </row>
    <row r="120" spans="1:25" x14ac:dyDescent="0.2">
      <c r="A120">
        <v>157</v>
      </c>
      <c r="B120" t="s">
        <v>164</v>
      </c>
      <c r="C120">
        <v>904.07853563536503</v>
      </c>
      <c r="D120">
        <v>40.0131603437857</v>
      </c>
      <c r="E120">
        <v>528.68440992416402</v>
      </c>
      <c r="F120">
        <v>759.03670544152499</v>
      </c>
      <c r="G120">
        <v>-41.522291583593798</v>
      </c>
      <c r="H120">
        <v>1796.96764494487</v>
      </c>
      <c r="I120" s="1">
        <v>1.03217585031771E-5</v>
      </c>
      <c r="J120" s="1">
        <v>3.5704404603476201E-7</v>
      </c>
      <c r="L120">
        <v>4</v>
      </c>
      <c r="M120">
        <f>G120*-1</f>
        <v>41.522291583593798</v>
      </c>
      <c r="N120">
        <v>237</v>
      </c>
      <c r="O120" t="s">
        <v>164</v>
      </c>
      <c r="P120" s="12" t="s">
        <v>164</v>
      </c>
      <c r="Q120" s="9" t="s">
        <v>164</v>
      </c>
      <c r="R120" s="8" t="s">
        <v>303</v>
      </c>
      <c r="S120" s="8" t="s">
        <v>729</v>
      </c>
      <c r="T120" s="8" t="s">
        <v>729</v>
      </c>
      <c r="U120" s="8" t="s">
        <v>364</v>
      </c>
      <c r="V120" s="10" t="s">
        <v>384</v>
      </c>
      <c r="W120" s="8">
        <v>5422</v>
      </c>
      <c r="X120" s="8" t="s">
        <v>262</v>
      </c>
      <c r="Y120" s="8" t="s">
        <v>385</v>
      </c>
    </row>
    <row r="121" spans="1:25" x14ac:dyDescent="0.2">
      <c r="A121">
        <v>193</v>
      </c>
      <c r="B121" t="s">
        <v>200</v>
      </c>
      <c r="C121">
        <v>533.64944114724801</v>
      </c>
      <c r="D121">
        <v>345.83294854992499</v>
      </c>
      <c r="E121">
        <v>374.01941674822899</v>
      </c>
      <c r="F121">
        <v>769.55457672633804</v>
      </c>
      <c r="G121">
        <v>-29.9129001345609</v>
      </c>
      <c r="H121">
        <v>122.522052902441</v>
      </c>
      <c r="I121" s="1">
        <v>1.08954720138212E-7</v>
      </c>
      <c r="J121" s="1">
        <v>9.6363300008815698E-9</v>
      </c>
      <c r="L121">
        <v>24</v>
      </c>
      <c r="M121">
        <f>G121*-1</f>
        <v>29.9129001345609</v>
      </c>
      <c r="N121">
        <v>217</v>
      </c>
      <c r="O121" t="s">
        <v>200</v>
      </c>
      <c r="P121" s="12" t="s">
        <v>200</v>
      </c>
      <c r="Q121" s="9" t="s">
        <v>200</v>
      </c>
      <c r="R121" s="8" t="s">
        <v>361</v>
      </c>
      <c r="S121" s="8" t="s">
        <v>506</v>
      </c>
      <c r="T121" s="8" t="s">
        <v>507</v>
      </c>
      <c r="U121" s="8" t="s">
        <v>364</v>
      </c>
      <c r="V121" s="10" t="s">
        <v>508</v>
      </c>
      <c r="W121" s="8">
        <v>3614</v>
      </c>
      <c r="X121" s="8" t="s">
        <v>262</v>
      </c>
      <c r="Y121" s="8" t="s">
        <v>509</v>
      </c>
    </row>
  </sheetData>
  <sortState xmlns:xlrd2="http://schemas.microsoft.com/office/spreadsheetml/2017/richdata2" ref="A2:Y121">
    <sortCondition ref="F2:F121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1116C-EEB2-EE4B-BA2F-60F5C5EB9EBF}">
  <dimension ref="A1:K241"/>
  <sheetViews>
    <sheetView topLeftCell="A49" zoomScale="150" zoomScaleNormal="150" workbookViewId="0">
      <selection activeCell="C62" sqref="C62"/>
    </sheetView>
  </sheetViews>
  <sheetFormatPr baseColWidth="10" defaultRowHeight="16" x14ac:dyDescent="0.2"/>
  <cols>
    <col min="1" max="1" width="56.83203125" customWidth="1"/>
    <col min="2" max="2" width="51.33203125" customWidth="1"/>
    <col min="3" max="3" width="24.83203125" style="5" customWidth="1"/>
    <col min="4" max="4" width="21.83203125" customWidth="1"/>
    <col min="8" max="8" width="10.83203125" style="4"/>
    <col min="10" max="10" width="15" customWidth="1"/>
  </cols>
  <sheetData>
    <row r="1" spans="1:11" s="3" customFormat="1" x14ac:dyDescent="0.2">
      <c r="A1" s="2" t="s">
        <v>249</v>
      </c>
      <c r="B1" s="2" t="s">
        <v>249</v>
      </c>
      <c r="C1" s="2" t="s">
        <v>249</v>
      </c>
      <c r="D1" s="3" t="s">
        <v>250</v>
      </c>
      <c r="E1" s="3" t="s">
        <v>251</v>
      </c>
      <c r="F1" s="3" t="s">
        <v>252</v>
      </c>
      <c r="G1" s="3" t="s">
        <v>252</v>
      </c>
      <c r="H1" s="4" t="s">
        <v>253</v>
      </c>
      <c r="I1" t="s">
        <v>254</v>
      </c>
      <c r="J1" t="s">
        <v>255</v>
      </c>
      <c r="K1" t="s">
        <v>256</v>
      </c>
    </row>
    <row r="2" spans="1:11" x14ac:dyDescent="0.2">
      <c r="A2">
        <v>968</v>
      </c>
      <c r="B2" s="11">
        <v>968</v>
      </c>
      <c r="C2" s="5">
        <v>968</v>
      </c>
      <c r="D2" t="s">
        <v>434</v>
      </c>
      <c r="E2" t="s">
        <v>441</v>
      </c>
      <c r="F2" t="s">
        <v>441</v>
      </c>
      <c r="G2" t="s">
        <v>260</v>
      </c>
      <c r="H2" s="4" t="s">
        <v>441</v>
      </c>
      <c r="I2">
        <v>2744</v>
      </c>
      <c r="J2" s="6" t="s">
        <v>262</v>
      </c>
      <c r="K2" t="s">
        <v>442</v>
      </c>
    </row>
    <row r="3" spans="1:11" x14ac:dyDescent="0.2">
      <c r="A3" s="5" t="s">
        <v>97</v>
      </c>
      <c r="B3" s="5" t="s">
        <v>97</v>
      </c>
      <c r="C3" s="5" t="s">
        <v>433</v>
      </c>
      <c r="D3" t="s">
        <v>434</v>
      </c>
      <c r="E3" t="s">
        <v>435</v>
      </c>
      <c r="F3" t="s">
        <v>435</v>
      </c>
      <c r="G3" t="s">
        <v>260</v>
      </c>
      <c r="H3" s="4" t="s">
        <v>436</v>
      </c>
      <c r="I3">
        <v>2746</v>
      </c>
      <c r="J3" s="6" t="s">
        <v>262</v>
      </c>
      <c r="K3" t="s">
        <v>437</v>
      </c>
    </row>
    <row r="4" spans="1:11" x14ac:dyDescent="0.2">
      <c r="A4" s="5" t="s">
        <v>114</v>
      </c>
      <c r="B4" s="11" t="s">
        <v>114</v>
      </c>
      <c r="C4" s="5" t="s">
        <v>482</v>
      </c>
      <c r="D4" t="s">
        <v>414</v>
      </c>
      <c r="E4" t="s">
        <v>478</v>
      </c>
      <c r="F4" t="s">
        <v>478</v>
      </c>
      <c r="G4" t="s">
        <v>260</v>
      </c>
      <c r="H4" s="4" t="s">
        <v>479</v>
      </c>
      <c r="I4">
        <v>3098</v>
      </c>
      <c r="J4" s="6" t="s">
        <v>262</v>
      </c>
      <c r="K4" t="s">
        <v>480</v>
      </c>
    </row>
    <row r="5" spans="1:11" x14ac:dyDescent="0.2">
      <c r="A5" t="s">
        <v>13</v>
      </c>
      <c r="B5" s="11" t="s">
        <v>356</v>
      </c>
      <c r="C5" s="5" t="s">
        <v>356</v>
      </c>
      <c r="D5" t="s">
        <v>258</v>
      </c>
      <c r="E5" t="s">
        <v>357</v>
      </c>
      <c r="F5" t="s">
        <v>357</v>
      </c>
      <c r="G5" t="s">
        <v>260</v>
      </c>
      <c r="H5" s="4" t="s">
        <v>358</v>
      </c>
      <c r="I5">
        <v>1374</v>
      </c>
      <c r="J5" s="6" t="s">
        <v>262</v>
      </c>
      <c r="K5" t="s">
        <v>359</v>
      </c>
    </row>
    <row r="6" spans="1:11" x14ac:dyDescent="0.2">
      <c r="A6" t="s">
        <v>201</v>
      </c>
      <c r="B6" s="11" t="s">
        <v>736</v>
      </c>
      <c r="C6" s="5" t="s">
        <v>736</v>
      </c>
      <c r="D6" t="s">
        <v>737</v>
      </c>
      <c r="E6" t="s">
        <v>729</v>
      </c>
      <c r="F6" t="s">
        <v>729</v>
      </c>
      <c r="G6" t="s">
        <v>260</v>
      </c>
      <c r="J6" s="6" t="s">
        <v>262</v>
      </c>
    </row>
    <row r="7" spans="1:11" x14ac:dyDescent="0.2">
      <c r="A7" s="5" t="s">
        <v>17</v>
      </c>
      <c r="B7" s="11" t="s">
        <v>444</v>
      </c>
      <c r="C7" s="5" t="s">
        <v>444</v>
      </c>
      <c r="D7" t="s">
        <v>445</v>
      </c>
      <c r="E7" t="s">
        <v>446</v>
      </c>
      <c r="F7" t="s">
        <v>446</v>
      </c>
      <c r="G7" t="s">
        <v>260</v>
      </c>
      <c r="H7" s="4" t="s">
        <v>447</v>
      </c>
      <c r="I7">
        <v>8972</v>
      </c>
      <c r="J7" s="6" t="s">
        <v>262</v>
      </c>
      <c r="K7" t="s">
        <v>448</v>
      </c>
    </row>
    <row r="8" spans="1:11" x14ac:dyDescent="0.2">
      <c r="A8" t="s">
        <v>21</v>
      </c>
      <c r="B8" s="11" t="s">
        <v>489</v>
      </c>
      <c r="C8" s="5" t="s">
        <v>489</v>
      </c>
      <c r="D8" t="s">
        <v>406</v>
      </c>
      <c r="E8" t="s">
        <v>490</v>
      </c>
      <c r="F8" t="s">
        <v>490</v>
      </c>
      <c r="G8" t="s">
        <v>260</v>
      </c>
      <c r="H8" s="4" t="s">
        <v>491</v>
      </c>
      <c r="I8">
        <v>3320</v>
      </c>
      <c r="J8" s="6" t="s">
        <v>262</v>
      </c>
      <c r="K8" t="s">
        <v>492</v>
      </c>
    </row>
    <row r="9" spans="1:11" x14ac:dyDescent="0.2">
      <c r="A9" t="s">
        <v>205</v>
      </c>
      <c r="B9" s="11" t="s">
        <v>455</v>
      </c>
      <c r="C9" s="5" t="s">
        <v>455</v>
      </c>
      <c r="D9" t="s">
        <v>303</v>
      </c>
      <c r="E9" t="s">
        <v>456</v>
      </c>
      <c r="F9" t="s">
        <v>456</v>
      </c>
      <c r="G9" t="s">
        <v>260</v>
      </c>
      <c r="H9" s="4" t="s">
        <v>456</v>
      </c>
      <c r="I9">
        <v>2879</v>
      </c>
      <c r="J9" s="6" t="s">
        <v>262</v>
      </c>
      <c r="K9" t="s">
        <v>457</v>
      </c>
    </row>
    <row r="10" spans="1:11" x14ac:dyDescent="0.2">
      <c r="A10" t="s">
        <v>209</v>
      </c>
      <c r="B10" s="11" t="s">
        <v>728</v>
      </c>
      <c r="C10" s="5" t="s">
        <v>728</v>
      </c>
      <c r="D10" t="s">
        <v>303</v>
      </c>
      <c r="E10" t="s">
        <v>729</v>
      </c>
      <c r="F10" t="s">
        <v>729</v>
      </c>
      <c r="G10" t="s">
        <v>260</v>
      </c>
      <c r="J10" s="6" t="s">
        <v>262</v>
      </c>
    </row>
    <row r="11" spans="1:11" s="8" customFormat="1" x14ac:dyDescent="0.2">
      <c r="A11" t="s">
        <v>25</v>
      </c>
      <c r="B11" t="s">
        <v>209</v>
      </c>
      <c r="C11" s="5" t="s">
        <v>464</v>
      </c>
      <c r="D11" t="s">
        <v>303</v>
      </c>
      <c r="E11" t="s">
        <v>461</v>
      </c>
      <c r="F11" t="s">
        <v>461</v>
      </c>
      <c r="G11" t="s">
        <v>260</v>
      </c>
      <c r="H11" s="4" t="s">
        <v>465</v>
      </c>
      <c r="I11">
        <v>2936</v>
      </c>
      <c r="J11" s="6" t="s">
        <v>262</v>
      </c>
      <c r="K11" t="s">
        <v>466</v>
      </c>
    </row>
    <row r="12" spans="1:11" x14ac:dyDescent="0.2">
      <c r="A12" t="s">
        <v>29</v>
      </c>
      <c r="B12" t="s">
        <v>25</v>
      </c>
      <c r="C12" s="5" t="s">
        <v>477</v>
      </c>
      <c r="D12" t="s">
        <v>414</v>
      </c>
      <c r="E12" t="s">
        <v>478</v>
      </c>
      <c r="F12" t="s">
        <v>478</v>
      </c>
      <c r="G12" t="s">
        <v>260</v>
      </c>
      <c r="H12" s="4" t="s">
        <v>479</v>
      </c>
      <c r="I12">
        <v>3098</v>
      </c>
      <c r="J12" s="6" t="s">
        <v>262</v>
      </c>
      <c r="K12" t="s">
        <v>480</v>
      </c>
    </row>
    <row r="13" spans="1:11" x14ac:dyDescent="0.2">
      <c r="A13" s="5" t="s">
        <v>80</v>
      </c>
      <c r="B13" s="5" t="s">
        <v>80</v>
      </c>
      <c r="C13" s="5" t="s">
        <v>727</v>
      </c>
      <c r="D13" t="s">
        <v>308</v>
      </c>
      <c r="E13" t="s">
        <v>724</v>
      </c>
      <c r="F13" t="s">
        <v>724</v>
      </c>
      <c r="G13" t="s">
        <v>260</v>
      </c>
      <c r="H13" s="4" t="s">
        <v>725</v>
      </c>
      <c r="I13">
        <v>7350</v>
      </c>
      <c r="J13" s="6" t="s">
        <v>262</v>
      </c>
      <c r="K13" t="s">
        <v>726</v>
      </c>
    </row>
    <row r="14" spans="1:11" s="8" customFormat="1" x14ac:dyDescent="0.2">
      <c r="A14" t="s">
        <v>11</v>
      </c>
      <c r="B14" s="11" t="s">
        <v>334</v>
      </c>
      <c r="C14" s="5" t="s">
        <v>334</v>
      </c>
      <c r="D14" t="s">
        <v>308</v>
      </c>
      <c r="E14" t="s">
        <v>335</v>
      </c>
      <c r="F14" t="s">
        <v>335</v>
      </c>
      <c r="G14" t="s">
        <v>260</v>
      </c>
      <c r="H14" s="4" t="s">
        <v>336</v>
      </c>
      <c r="I14">
        <v>6389</v>
      </c>
      <c r="J14" s="6" t="s">
        <v>262</v>
      </c>
      <c r="K14" t="s">
        <v>337</v>
      </c>
    </row>
    <row r="15" spans="1:11" x14ac:dyDescent="0.2">
      <c r="A15" t="s">
        <v>15</v>
      </c>
      <c r="B15" t="s">
        <v>15</v>
      </c>
      <c r="C15" s="5" t="s">
        <v>575</v>
      </c>
      <c r="D15" t="s">
        <v>303</v>
      </c>
      <c r="E15" t="s">
        <v>576</v>
      </c>
      <c r="F15" t="s">
        <v>576</v>
      </c>
      <c r="G15" t="s">
        <v>260</v>
      </c>
      <c r="H15" s="4" t="s">
        <v>576</v>
      </c>
      <c r="I15">
        <v>1728</v>
      </c>
      <c r="J15" s="6" t="s">
        <v>262</v>
      </c>
      <c r="K15" t="s">
        <v>577</v>
      </c>
    </row>
    <row r="16" spans="1:11" s="8" customFormat="1" x14ac:dyDescent="0.2">
      <c r="A16" t="s">
        <v>19</v>
      </c>
      <c r="B16" s="11" t="s">
        <v>19</v>
      </c>
      <c r="C16" s="5" t="s">
        <v>19</v>
      </c>
      <c r="D16" t="s">
        <v>414</v>
      </c>
      <c r="E16" t="s">
        <v>623</v>
      </c>
      <c r="F16" t="s">
        <v>623</v>
      </c>
      <c r="G16" t="s">
        <v>260</v>
      </c>
      <c r="H16" s="4" t="s">
        <v>623</v>
      </c>
      <c r="I16">
        <v>5209</v>
      </c>
      <c r="J16" s="6" t="s">
        <v>262</v>
      </c>
      <c r="K16" t="s">
        <v>624</v>
      </c>
    </row>
    <row r="17" spans="1:11" x14ac:dyDescent="0.2">
      <c r="A17" t="s">
        <v>23</v>
      </c>
      <c r="B17" s="11" t="s">
        <v>23</v>
      </c>
      <c r="C17" s="5" t="s">
        <v>23</v>
      </c>
      <c r="D17" t="s">
        <v>258</v>
      </c>
      <c r="E17" t="s">
        <v>522</v>
      </c>
      <c r="F17" t="s">
        <v>522</v>
      </c>
      <c r="G17" t="s">
        <v>260</v>
      </c>
      <c r="H17" s="4" t="s">
        <v>523</v>
      </c>
      <c r="I17">
        <v>2081</v>
      </c>
      <c r="J17" s="6" t="s">
        <v>262</v>
      </c>
      <c r="K17" t="s">
        <v>524</v>
      </c>
    </row>
    <row r="18" spans="1:11" s="8" customFormat="1" x14ac:dyDescent="0.2">
      <c r="A18" t="s">
        <v>27</v>
      </c>
      <c r="B18" s="12" t="s">
        <v>717</v>
      </c>
      <c r="C18" s="9" t="s">
        <v>717</v>
      </c>
      <c r="D18" s="8" t="s">
        <v>361</v>
      </c>
      <c r="E18" s="8" t="s">
        <v>718</v>
      </c>
      <c r="F18" s="8" t="s">
        <v>718</v>
      </c>
      <c r="G18" s="8" t="s">
        <v>364</v>
      </c>
      <c r="H18" s="10" t="s">
        <v>718</v>
      </c>
      <c r="I18" s="8">
        <v>7298</v>
      </c>
      <c r="J18" s="8" t="s">
        <v>262</v>
      </c>
      <c r="K18" s="8" t="s">
        <v>719</v>
      </c>
    </row>
    <row r="19" spans="1:11" x14ac:dyDescent="0.2">
      <c r="A19" t="s">
        <v>31</v>
      </c>
      <c r="B19" s="11" t="s">
        <v>425</v>
      </c>
      <c r="C19" s="5" t="s">
        <v>425</v>
      </c>
      <c r="D19" t="s">
        <v>414</v>
      </c>
      <c r="E19" t="s">
        <v>426</v>
      </c>
      <c r="F19" t="s">
        <v>426</v>
      </c>
      <c r="G19" t="s">
        <v>260</v>
      </c>
      <c r="H19" s="4" t="s">
        <v>426</v>
      </c>
      <c r="I19">
        <v>2539</v>
      </c>
      <c r="J19" s="6" t="s">
        <v>262</v>
      </c>
      <c r="K19" t="s">
        <v>427</v>
      </c>
    </row>
    <row r="20" spans="1:11" s="8" customFormat="1" x14ac:dyDescent="0.2">
      <c r="A20" t="s">
        <v>10</v>
      </c>
      <c r="B20" s="12" t="s">
        <v>720</v>
      </c>
      <c r="C20" s="9" t="s">
        <v>720</v>
      </c>
      <c r="D20" s="8" t="s">
        <v>361</v>
      </c>
      <c r="E20" s="8" t="s">
        <v>721</v>
      </c>
      <c r="F20" s="8" t="s">
        <v>722</v>
      </c>
      <c r="G20" s="8" t="s">
        <v>364</v>
      </c>
      <c r="H20" s="10" t="s">
        <v>722</v>
      </c>
      <c r="I20" s="8">
        <v>7372</v>
      </c>
      <c r="J20" s="8" t="s">
        <v>262</v>
      </c>
      <c r="K20" s="8" t="s">
        <v>723</v>
      </c>
    </row>
    <row r="21" spans="1:11" x14ac:dyDescent="0.2">
      <c r="A21" t="s">
        <v>14</v>
      </c>
      <c r="B21" s="12" t="s">
        <v>505</v>
      </c>
      <c r="C21" s="9" t="s">
        <v>505</v>
      </c>
      <c r="D21" s="8" t="s">
        <v>361</v>
      </c>
      <c r="E21" s="8" t="s">
        <v>506</v>
      </c>
      <c r="F21" s="8" t="s">
        <v>507</v>
      </c>
      <c r="G21" s="8" t="s">
        <v>364</v>
      </c>
      <c r="H21" s="10" t="s">
        <v>508</v>
      </c>
      <c r="I21" s="8">
        <v>3614</v>
      </c>
      <c r="J21" s="8" t="s">
        <v>262</v>
      </c>
      <c r="K21" s="8" t="s">
        <v>509</v>
      </c>
    </row>
    <row r="22" spans="1:11" x14ac:dyDescent="0.2">
      <c r="A22" t="s">
        <v>18</v>
      </c>
      <c r="B22" s="12" t="s">
        <v>510</v>
      </c>
      <c r="C22" s="9" t="s">
        <v>510</v>
      </c>
      <c r="D22" s="8" t="s">
        <v>361</v>
      </c>
      <c r="E22" s="8" t="s">
        <v>506</v>
      </c>
      <c r="F22" s="8" t="s">
        <v>507</v>
      </c>
      <c r="G22" s="8" t="s">
        <v>364</v>
      </c>
      <c r="H22" s="10" t="s">
        <v>508</v>
      </c>
      <c r="I22" s="8">
        <v>3614</v>
      </c>
      <c r="J22" s="8" t="s">
        <v>262</v>
      </c>
      <c r="K22" s="8" t="s">
        <v>509</v>
      </c>
    </row>
    <row r="23" spans="1:11" x14ac:dyDescent="0.2">
      <c r="A23" t="s">
        <v>26</v>
      </c>
      <c r="B23" s="11" t="s">
        <v>26</v>
      </c>
      <c r="C23" s="5" t="s">
        <v>26</v>
      </c>
      <c r="D23" t="s">
        <v>258</v>
      </c>
      <c r="E23" t="s">
        <v>386</v>
      </c>
      <c r="F23" t="s">
        <v>386</v>
      </c>
      <c r="G23" t="s">
        <v>260</v>
      </c>
      <c r="H23" s="4" t="s">
        <v>386</v>
      </c>
      <c r="I23">
        <v>8694</v>
      </c>
      <c r="J23" s="6" t="s">
        <v>262</v>
      </c>
      <c r="K23" t="s">
        <v>387</v>
      </c>
    </row>
    <row r="24" spans="1:11" x14ac:dyDescent="0.2">
      <c r="A24" t="s">
        <v>137</v>
      </c>
      <c r="B24" s="11" t="s">
        <v>316</v>
      </c>
      <c r="C24" s="5" t="s">
        <v>316</v>
      </c>
      <c r="D24" t="s">
        <v>308</v>
      </c>
      <c r="E24" t="s">
        <v>313</v>
      </c>
      <c r="F24" t="s">
        <v>313</v>
      </c>
      <c r="G24" t="s">
        <v>260</v>
      </c>
      <c r="H24" s="4" t="s">
        <v>314</v>
      </c>
      <c r="I24">
        <v>596</v>
      </c>
      <c r="J24" s="6" t="s">
        <v>262</v>
      </c>
      <c r="K24" t="s">
        <v>315</v>
      </c>
    </row>
    <row r="25" spans="1:11" x14ac:dyDescent="0.2">
      <c r="A25" t="s">
        <v>30</v>
      </c>
      <c r="B25" s="11" t="s">
        <v>312</v>
      </c>
      <c r="C25" s="5" t="s">
        <v>312</v>
      </c>
      <c r="D25" t="s">
        <v>308</v>
      </c>
      <c r="E25" t="s">
        <v>313</v>
      </c>
      <c r="F25" t="s">
        <v>313</v>
      </c>
      <c r="G25" t="s">
        <v>260</v>
      </c>
      <c r="H25" s="4" t="s">
        <v>314</v>
      </c>
      <c r="I25">
        <v>596</v>
      </c>
      <c r="J25" s="6" t="s">
        <v>262</v>
      </c>
      <c r="K25" t="s">
        <v>315</v>
      </c>
    </row>
    <row r="26" spans="1:11" x14ac:dyDescent="0.2">
      <c r="A26" t="s">
        <v>213</v>
      </c>
      <c r="B26" t="s">
        <v>213</v>
      </c>
      <c r="C26" s="5" t="s">
        <v>545</v>
      </c>
      <c r="D26" t="s">
        <v>518</v>
      </c>
      <c r="E26" t="s">
        <v>546</v>
      </c>
      <c r="F26" t="s">
        <v>546</v>
      </c>
      <c r="G26" t="s">
        <v>260</v>
      </c>
      <c r="H26" s="4" t="s">
        <v>547</v>
      </c>
      <c r="I26">
        <v>6566</v>
      </c>
      <c r="J26" s="6" t="s">
        <v>262</v>
      </c>
      <c r="K26" t="s">
        <v>548</v>
      </c>
    </row>
    <row r="27" spans="1:11" x14ac:dyDescent="0.2">
      <c r="A27" t="s">
        <v>12</v>
      </c>
      <c r="B27" s="11" t="s">
        <v>12</v>
      </c>
      <c r="C27" s="5" t="s">
        <v>12</v>
      </c>
      <c r="D27" t="s">
        <v>303</v>
      </c>
      <c r="E27" t="s">
        <v>438</v>
      </c>
      <c r="F27" t="s">
        <v>438</v>
      </c>
      <c r="G27" t="s">
        <v>260</v>
      </c>
      <c r="H27" s="4" t="s">
        <v>439</v>
      </c>
      <c r="I27">
        <v>2678</v>
      </c>
      <c r="J27" s="6" t="s">
        <v>262</v>
      </c>
      <c r="K27" t="s">
        <v>440</v>
      </c>
    </row>
    <row r="28" spans="1:11" x14ac:dyDescent="0.2">
      <c r="A28" t="s">
        <v>188</v>
      </c>
      <c r="B28" s="11" t="s">
        <v>397</v>
      </c>
      <c r="C28" s="5" t="s">
        <v>397</v>
      </c>
      <c r="D28" t="s">
        <v>398</v>
      </c>
      <c r="E28" t="s">
        <v>399</v>
      </c>
      <c r="F28" t="s">
        <v>399</v>
      </c>
      <c r="G28" t="s">
        <v>260</v>
      </c>
      <c r="H28" s="4" t="s">
        <v>400</v>
      </c>
      <c r="I28">
        <v>5434</v>
      </c>
      <c r="J28" s="6" t="s">
        <v>262</v>
      </c>
      <c r="K28" t="s">
        <v>401</v>
      </c>
    </row>
    <row r="29" spans="1:11" x14ac:dyDescent="0.2">
      <c r="A29" t="s">
        <v>16</v>
      </c>
      <c r="B29" s="11" t="s">
        <v>16</v>
      </c>
      <c r="C29" s="5" t="s">
        <v>16</v>
      </c>
      <c r="D29" t="s">
        <v>308</v>
      </c>
      <c r="E29" t="s">
        <v>619</v>
      </c>
      <c r="F29" t="s">
        <v>619</v>
      </c>
      <c r="G29" t="s">
        <v>260</v>
      </c>
      <c r="J29" s="6" t="s">
        <v>262</v>
      </c>
    </row>
    <row r="30" spans="1:11" x14ac:dyDescent="0.2">
      <c r="A30" t="s">
        <v>217</v>
      </c>
      <c r="B30" s="11" t="s">
        <v>217</v>
      </c>
      <c r="C30" s="5" t="s">
        <v>217</v>
      </c>
      <c r="D30" t="s">
        <v>303</v>
      </c>
      <c r="E30" t="s">
        <v>304</v>
      </c>
      <c r="F30" t="s">
        <v>304</v>
      </c>
      <c r="G30" t="s">
        <v>260</v>
      </c>
      <c r="H30" s="4" t="s">
        <v>305</v>
      </c>
      <c r="I30">
        <v>54583</v>
      </c>
      <c r="J30" s="6" t="s">
        <v>262</v>
      </c>
      <c r="K30" t="s">
        <v>306</v>
      </c>
    </row>
    <row r="31" spans="1:11" x14ac:dyDescent="0.2">
      <c r="A31" t="s">
        <v>20</v>
      </c>
      <c r="B31" s="11" t="s">
        <v>20</v>
      </c>
      <c r="C31" s="5" t="s">
        <v>20</v>
      </c>
      <c r="D31" t="s">
        <v>303</v>
      </c>
      <c r="E31" t="s">
        <v>572</v>
      </c>
      <c r="F31" t="s">
        <v>572</v>
      </c>
      <c r="G31" t="s">
        <v>260</v>
      </c>
      <c r="H31" s="4" t="s">
        <v>573</v>
      </c>
      <c r="I31">
        <v>1536</v>
      </c>
      <c r="J31" s="6" t="s">
        <v>262</v>
      </c>
      <c r="K31" t="s">
        <v>574</v>
      </c>
    </row>
    <row r="32" spans="1:11" x14ac:dyDescent="0.2">
      <c r="A32" t="s">
        <v>135</v>
      </c>
      <c r="B32" s="11" t="s">
        <v>135</v>
      </c>
      <c r="C32" s="5" t="s">
        <v>135</v>
      </c>
      <c r="D32" t="s">
        <v>303</v>
      </c>
      <c r="E32" t="s">
        <v>729</v>
      </c>
      <c r="F32" t="s">
        <v>729</v>
      </c>
      <c r="G32" t="s">
        <v>260</v>
      </c>
      <c r="J32" s="6" t="s">
        <v>262</v>
      </c>
    </row>
    <row r="33" spans="1:11" x14ac:dyDescent="0.2">
      <c r="A33" t="s">
        <v>221</v>
      </c>
      <c r="B33" s="11" t="s">
        <v>499</v>
      </c>
      <c r="C33" s="5" t="s">
        <v>499</v>
      </c>
      <c r="D33" t="s">
        <v>494</v>
      </c>
      <c r="E33" t="s">
        <v>495</v>
      </c>
      <c r="F33" t="s">
        <v>495</v>
      </c>
      <c r="G33" t="s">
        <v>260</v>
      </c>
      <c r="H33" s="4" t="s">
        <v>496</v>
      </c>
      <c r="I33">
        <v>3417</v>
      </c>
      <c r="J33" s="6" t="s">
        <v>262</v>
      </c>
      <c r="K33" t="s">
        <v>497</v>
      </c>
    </row>
    <row r="34" spans="1:11" x14ac:dyDescent="0.2">
      <c r="A34" t="s">
        <v>203</v>
      </c>
      <c r="B34" s="11" t="s">
        <v>504</v>
      </c>
      <c r="C34" s="5" t="s">
        <v>504</v>
      </c>
      <c r="D34" t="s">
        <v>494</v>
      </c>
      <c r="E34" t="s">
        <v>501</v>
      </c>
      <c r="F34" t="s">
        <v>501</v>
      </c>
      <c r="G34" t="s">
        <v>260</v>
      </c>
      <c r="H34" s="4" t="s">
        <v>502</v>
      </c>
      <c r="I34">
        <v>3418</v>
      </c>
      <c r="J34" s="6" t="s">
        <v>262</v>
      </c>
      <c r="K34" t="s">
        <v>503</v>
      </c>
    </row>
    <row r="35" spans="1:11" x14ac:dyDescent="0.2">
      <c r="A35" t="s">
        <v>24</v>
      </c>
      <c r="B35" s="11" t="s">
        <v>493</v>
      </c>
      <c r="C35" s="5" t="s">
        <v>493</v>
      </c>
      <c r="D35" t="s">
        <v>494</v>
      </c>
      <c r="E35" t="s">
        <v>495</v>
      </c>
      <c r="F35" t="s">
        <v>495</v>
      </c>
      <c r="G35" t="s">
        <v>260</v>
      </c>
      <c r="H35" s="4" t="s">
        <v>496</v>
      </c>
      <c r="I35">
        <v>3417</v>
      </c>
      <c r="J35" s="6" t="s">
        <v>262</v>
      </c>
      <c r="K35" t="s">
        <v>497</v>
      </c>
    </row>
    <row r="36" spans="1:11" x14ac:dyDescent="0.2">
      <c r="A36" t="s">
        <v>28</v>
      </c>
      <c r="B36" s="11" t="s">
        <v>500</v>
      </c>
      <c r="C36" s="5" t="s">
        <v>500</v>
      </c>
      <c r="D36" t="s">
        <v>494</v>
      </c>
      <c r="E36" t="s">
        <v>501</v>
      </c>
      <c r="F36" t="s">
        <v>501</v>
      </c>
      <c r="G36" t="s">
        <v>260</v>
      </c>
      <c r="H36" s="4" t="s">
        <v>502</v>
      </c>
      <c r="I36">
        <v>3418</v>
      </c>
      <c r="J36" s="6" t="s">
        <v>262</v>
      </c>
      <c r="K36" t="s">
        <v>503</v>
      </c>
    </row>
    <row r="37" spans="1:11" x14ac:dyDescent="0.2">
      <c r="A37" t="s">
        <v>32</v>
      </c>
      <c r="B37" s="11" t="s">
        <v>32</v>
      </c>
      <c r="C37" s="5" t="s">
        <v>32</v>
      </c>
      <c r="D37" t="s">
        <v>293</v>
      </c>
      <c r="E37" t="s">
        <v>294</v>
      </c>
      <c r="F37" t="s">
        <v>294</v>
      </c>
      <c r="G37" t="s">
        <v>260</v>
      </c>
      <c r="H37" s="4" t="s">
        <v>295</v>
      </c>
      <c r="I37">
        <v>5562</v>
      </c>
      <c r="J37" s="6" t="s">
        <v>262</v>
      </c>
      <c r="K37" t="s">
        <v>296</v>
      </c>
    </row>
    <row r="38" spans="1:11" s="8" customFormat="1" x14ac:dyDescent="0.2">
      <c r="A38" t="s">
        <v>33</v>
      </c>
      <c r="B38" s="11" t="s">
        <v>645</v>
      </c>
      <c r="C38" s="5" t="s">
        <v>645</v>
      </c>
      <c r="D38" t="s">
        <v>361</v>
      </c>
      <c r="E38" t="s">
        <v>506</v>
      </c>
      <c r="F38" t="s">
        <v>506</v>
      </c>
      <c r="G38" t="s">
        <v>260</v>
      </c>
      <c r="H38" s="4" t="s">
        <v>646</v>
      </c>
      <c r="I38">
        <v>7498</v>
      </c>
      <c r="J38" s="6" t="s">
        <v>262</v>
      </c>
      <c r="K38" t="s">
        <v>647</v>
      </c>
    </row>
    <row r="39" spans="1:11" x14ac:dyDescent="0.2">
      <c r="A39" t="s">
        <v>37</v>
      </c>
      <c r="B39" s="11" t="s">
        <v>37</v>
      </c>
      <c r="C39" s="5" t="s">
        <v>37</v>
      </c>
      <c r="D39" t="s">
        <v>276</v>
      </c>
      <c r="E39" t="s">
        <v>280</v>
      </c>
      <c r="F39" t="s">
        <v>280</v>
      </c>
      <c r="G39" t="s">
        <v>260</v>
      </c>
      <c r="H39" s="4" t="s">
        <v>280</v>
      </c>
      <c r="I39">
        <v>231</v>
      </c>
      <c r="J39" s="6" t="s">
        <v>262</v>
      </c>
      <c r="K39" t="s">
        <v>281</v>
      </c>
    </row>
    <row r="40" spans="1:11" x14ac:dyDescent="0.2">
      <c r="A40" t="s">
        <v>41</v>
      </c>
      <c r="B40" s="11" t="s">
        <v>730</v>
      </c>
      <c r="C40" s="5" t="s">
        <v>730</v>
      </c>
      <c r="D40" t="s">
        <v>303</v>
      </c>
      <c r="E40" t="s">
        <v>729</v>
      </c>
      <c r="F40" t="s">
        <v>729</v>
      </c>
      <c r="G40" t="s">
        <v>260</v>
      </c>
      <c r="J40" s="6" t="s">
        <v>262</v>
      </c>
    </row>
    <row r="41" spans="1:11" s="8" customFormat="1" x14ac:dyDescent="0.2">
      <c r="A41" t="s">
        <v>45</v>
      </c>
      <c r="B41" s="11" t="s">
        <v>45</v>
      </c>
      <c r="C41" s="5" t="s">
        <v>45</v>
      </c>
      <c r="D41" t="s">
        <v>289</v>
      </c>
      <c r="E41" t="s">
        <v>708</v>
      </c>
      <c r="F41" t="s">
        <v>708</v>
      </c>
      <c r="G41" t="s">
        <v>260</v>
      </c>
      <c r="H41" s="4" t="s">
        <v>709</v>
      </c>
      <c r="I41">
        <v>18</v>
      </c>
      <c r="J41" s="6" t="s">
        <v>262</v>
      </c>
      <c r="K41" t="s">
        <v>710</v>
      </c>
    </row>
    <row r="42" spans="1:11" x14ac:dyDescent="0.2">
      <c r="A42" t="s">
        <v>49</v>
      </c>
      <c r="B42" s="11" t="s">
        <v>49</v>
      </c>
      <c r="C42" s="5" t="s">
        <v>49</v>
      </c>
      <c r="D42" t="s">
        <v>276</v>
      </c>
      <c r="E42" t="s">
        <v>373</v>
      </c>
      <c r="F42" t="s">
        <v>373</v>
      </c>
      <c r="G42" t="s">
        <v>260</v>
      </c>
      <c r="H42" s="4" t="s">
        <v>373</v>
      </c>
      <c r="I42">
        <v>1588</v>
      </c>
      <c r="J42" s="6" t="s">
        <v>262</v>
      </c>
      <c r="K42" t="s">
        <v>374</v>
      </c>
    </row>
    <row r="43" spans="1:11" x14ac:dyDescent="0.2">
      <c r="A43" t="s">
        <v>53</v>
      </c>
      <c r="B43" s="11" t="s">
        <v>338</v>
      </c>
      <c r="C43" s="5" t="s">
        <v>338</v>
      </c>
      <c r="D43" t="s">
        <v>308</v>
      </c>
      <c r="E43" t="s">
        <v>339</v>
      </c>
      <c r="F43" t="s">
        <v>339</v>
      </c>
      <c r="G43" t="s">
        <v>260</v>
      </c>
      <c r="H43" s="4" t="s">
        <v>340</v>
      </c>
      <c r="I43">
        <v>7384</v>
      </c>
      <c r="J43" s="6" t="s">
        <v>262</v>
      </c>
      <c r="K43" t="s">
        <v>341</v>
      </c>
    </row>
    <row r="44" spans="1:11" x14ac:dyDescent="0.2">
      <c r="A44" t="s">
        <v>207</v>
      </c>
      <c r="B44" s="11" t="s">
        <v>413</v>
      </c>
      <c r="C44" s="5" t="s">
        <v>413</v>
      </c>
      <c r="D44" t="s">
        <v>414</v>
      </c>
      <c r="E44" t="s">
        <v>415</v>
      </c>
      <c r="F44" t="s">
        <v>415</v>
      </c>
      <c r="G44" t="s">
        <v>260</v>
      </c>
      <c r="H44" s="4" t="s">
        <v>416</v>
      </c>
      <c r="I44">
        <v>2023</v>
      </c>
      <c r="J44" s="6" t="s">
        <v>262</v>
      </c>
      <c r="K44" t="s">
        <v>417</v>
      </c>
    </row>
    <row r="45" spans="1:11" x14ac:dyDescent="0.2">
      <c r="A45" t="s">
        <v>35</v>
      </c>
      <c r="B45" s="11" t="s">
        <v>35</v>
      </c>
      <c r="C45" s="5" t="s">
        <v>35</v>
      </c>
      <c r="D45" t="s">
        <v>368</v>
      </c>
      <c r="E45" t="s">
        <v>377</v>
      </c>
      <c r="F45" t="s">
        <v>377</v>
      </c>
      <c r="G45" t="s">
        <v>260</v>
      </c>
      <c r="H45" s="4" t="s">
        <v>377</v>
      </c>
      <c r="I45">
        <v>1559</v>
      </c>
      <c r="J45" s="6" t="s">
        <v>262</v>
      </c>
      <c r="K45" t="s">
        <v>378</v>
      </c>
    </row>
    <row r="46" spans="1:11" x14ac:dyDescent="0.2">
      <c r="A46" t="s">
        <v>39</v>
      </c>
      <c r="B46" s="11" t="s">
        <v>549</v>
      </c>
      <c r="C46" s="5" t="s">
        <v>549</v>
      </c>
      <c r="D46" t="s">
        <v>518</v>
      </c>
      <c r="E46" t="s">
        <v>550</v>
      </c>
      <c r="F46" t="s">
        <v>550</v>
      </c>
      <c r="G46" t="s">
        <v>260</v>
      </c>
      <c r="H46" s="4" t="s">
        <v>547</v>
      </c>
      <c r="I46">
        <v>6566</v>
      </c>
      <c r="J46" s="6" t="s">
        <v>262</v>
      </c>
      <c r="K46" t="s">
        <v>548</v>
      </c>
    </row>
    <row r="47" spans="1:11" x14ac:dyDescent="0.2">
      <c r="A47" t="s">
        <v>43</v>
      </c>
      <c r="B47" s="11" t="s">
        <v>43</v>
      </c>
      <c r="C47" s="5" t="s">
        <v>43</v>
      </c>
      <c r="D47" t="s">
        <v>303</v>
      </c>
      <c r="E47" t="s">
        <v>729</v>
      </c>
      <c r="F47" t="s">
        <v>729</v>
      </c>
      <c r="G47" t="s">
        <v>260</v>
      </c>
      <c r="J47" s="6" t="s">
        <v>262</v>
      </c>
    </row>
    <row r="48" spans="1:11" x14ac:dyDescent="0.2">
      <c r="A48" t="s">
        <v>47</v>
      </c>
      <c r="B48" s="11" t="s">
        <v>47</v>
      </c>
      <c r="C48" s="5" t="s">
        <v>47</v>
      </c>
      <c r="D48" t="s">
        <v>303</v>
      </c>
      <c r="E48" t="s">
        <v>467</v>
      </c>
      <c r="F48" t="s">
        <v>467</v>
      </c>
      <c r="G48" t="s">
        <v>260</v>
      </c>
      <c r="H48" s="4" t="s">
        <v>382</v>
      </c>
      <c r="J48" s="6" t="s">
        <v>262</v>
      </c>
    </row>
    <row r="49" spans="1:11" x14ac:dyDescent="0.2">
      <c r="A49" t="s">
        <v>51</v>
      </c>
      <c r="B49" s="11" t="s">
        <v>51</v>
      </c>
      <c r="C49" s="5" t="s">
        <v>51</v>
      </c>
      <c r="D49" t="s">
        <v>299</v>
      </c>
      <c r="E49" t="s">
        <v>351</v>
      </c>
      <c r="F49" t="s">
        <v>351</v>
      </c>
      <c r="G49" t="s">
        <v>260</v>
      </c>
      <c r="H49" s="4" t="s">
        <v>352</v>
      </c>
      <c r="I49">
        <v>4512</v>
      </c>
      <c r="J49" s="6" t="s">
        <v>262</v>
      </c>
      <c r="K49" t="s">
        <v>353</v>
      </c>
    </row>
    <row r="50" spans="1:11" x14ac:dyDescent="0.2">
      <c r="A50" t="s">
        <v>211</v>
      </c>
      <c r="B50" s="11" t="s">
        <v>685</v>
      </c>
      <c r="C50" s="5" t="s">
        <v>685</v>
      </c>
      <c r="D50" t="s">
        <v>303</v>
      </c>
      <c r="E50" t="s">
        <v>683</v>
      </c>
      <c r="F50" t="s">
        <v>683</v>
      </c>
      <c r="G50" t="s">
        <v>260</v>
      </c>
      <c r="H50" s="4" t="s">
        <v>683</v>
      </c>
      <c r="I50">
        <v>6647</v>
      </c>
      <c r="J50" s="6" t="s">
        <v>262</v>
      </c>
      <c r="K50" t="s">
        <v>684</v>
      </c>
    </row>
    <row r="51" spans="1:11" s="8" customFormat="1" x14ac:dyDescent="0.2">
      <c r="A51" t="s">
        <v>55</v>
      </c>
      <c r="B51" s="11" t="s">
        <v>55</v>
      </c>
      <c r="C51" s="5" t="s">
        <v>55</v>
      </c>
      <c r="D51" t="s">
        <v>303</v>
      </c>
      <c r="E51" t="s">
        <v>714</v>
      </c>
      <c r="F51" t="s">
        <v>714</v>
      </c>
      <c r="G51" t="s">
        <v>260</v>
      </c>
      <c r="H51" s="4" t="s">
        <v>715</v>
      </c>
      <c r="I51">
        <v>7296</v>
      </c>
      <c r="J51" s="6" t="s">
        <v>262</v>
      </c>
      <c r="K51" t="s">
        <v>716</v>
      </c>
    </row>
    <row r="52" spans="1:11" s="8" customFormat="1" x14ac:dyDescent="0.2">
      <c r="A52" t="s">
        <v>215</v>
      </c>
      <c r="B52" s="11" t="s">
        <v>215</v>
      </c>
      <c r="C52" s="5" t="s">
        <v>215</v>
      </c>
      <c r="D52" t="s">
        <v>303</v>
      </c>
      <c r="E52" t="s">
        <v>461</v>
      </c>
      <c r="F52" t="s">
        <v>461</v>
      </c>
      <c r="G52" t="s">
        <v>260</v>
      </c>
      <c r="H52" s="4" t="s">
        <v>382</v>
      </c>
      <c r="I52"/>
      <c r="J52" s="6" t="s">
        <v>262</v>
      </c>
      <c r="K52"/>
    </row>
    <row r="53" spans="1:11" s="8" customFormat="1" x14ac:dyDescent="0.2">
      <c r="A53" t="s">
        <v>34</v>
      </c>
      <c r="B53" s="11" t="s">
        <v>34</v>
      </c>
      <c r="C53" s="5" t="s">
        <v>34</v>
      </c>
      <c r="D53" t="s">
        <v>258</v>
      </c>
      <c r="E53" t="s">
        <v>264</v>
      </c>
      <c r="F53" t="s">
        <v>264</v>
      </c>
      <c r="G53" t="s">
        <v>260</v>
      </c>
      <c r="H53" s="4" t="s">
        <v>265</v>
      </c>
      <c r="I53">
        <v>6646</v>
      </c>
      <c r="J53" s="6" t="s">
        <v>262</v>
      </c>
      <c r="K53" t="s">
        <v>266</v>
      </c>
    </row>
    <row r="54" spans="1:11" s="8" customFormat="1" x14ac:dyDescent="0.2">
      <c r="A54" t="s">
        <v>38</v>
      </c>
      <c r="B54" s="11" t="s">
        <v>38</v>
      </c>
      <c r="C54" s="5" t="s">
        <v>38</v>
      </c>
      <c r="D54" t="s">
        <v>303</v>
      </c>
      <c r="E54" t="s">
        <v>438</v>
      </c>
      <c r="F54" t="s">
        <v>438</v>
      </c>
      <c r="G54" t="s">
        <v>260</v>
      </c>
      <c r="H54" s="4" t="s">
        <v>439</v>
      </c>
      <c r="I54">
        <v>2678</v>
      </c>
      <c r="J54" s="6" t="s">
        <v>262</v>
      </c>
      <c r="K54" t="s">
        <v>440</v>
      </c>
    </row>
    <row r="55" spans="1:11" s="8" customFormat="1" x14ac:dyDescent="0.2">
      <c r="A55" t="s">
        <v>219</v>
      </c>
      <c r="B55" s="11" t="s">
        <v>219</v>
      </c>
      <c r="C55" s="5" t="s">
        <v>219</v>
      </c>
      <c r="D55" t="s">
        <v>518</v>
      </c>
      <c r="E55" t="s">
        <v>550</v>
      </c>
      <c r="F55" t="s">
        <v>550</v>
      </c>
      <c r="G55" t="s">
        <v>260</v>
      </c>
      <c r="H55" s="4" t="s">
        <v>547</v>
      </c>
      <c r="I55">
        <v>6566</v>
      </c>
      <c r="J55" s="6" t="s">
        <v>262</v>
      </c>
      <c r="K55" t="s">
        <v>548</v>
      </c>
    </row>
    <row r="56" spans="1:11" x14ac:dyDescent="0.2">
      <c r="A56" t="s">
        <v>42</v>
      </c>
      <c r="B56" s="11" t="s">
        <v>578</v>
      </c>
      <c r="C56" s="5" t="s">
        <v>578</v>
      </c>
      <c r="D56" t="s">
        <v>303</v>
      </c>
      <c r="E56" t="s">
        <v>576</v>
      </c>
      <c r="F56" t="s">
        <v>576</v>
      </c>
      <c r="G56" t="s">
        <v>260</v>
      </c>
      <c r="H56" s="4" t="s">
        <v>576</v>
      </c>
      <c r="I56">
        <v>1728</v>
      </c>
      <c r="J56" s="6" t="s">
        <v>262</v>
      </c>
      <c r="K56" t="s">
        <v>577</v>
      </c>
    </row>
    <row r="57" spans="1:11" x14ac:dyDescent="0.2">
      <c r="A57" t="s">
        <v>46</v>
      </c>
      <c r="B57" s="11" t="s">
        <v>731</v>
      </c>
      <c r="C57" s="5" t="s">
        <v>731</v>
      </c>
      <c r="D57" t="s">
        <v>308</v>
      </c>
      <c r="E57" t="s">
        <v>729</v>
      </c>
      <c r="F57" t="s">
        <v>729</v>
      </c>
      <c r="G57" t="s">
        <v>260</v>
      </c>
      <c r="J57" s="6" t="s">
        <v>262</v>
      </c>
    </row>
    <row r="58" spans="1:11" x14ac:dyDescent="0.2">
      <c r="A58" t="s">
        <v>54</v>
      </c>
      <c r="B58" t="s">
        <v>54</v>
      </c>
      <c r="C58" s="5" t="s">
        <v>418</v>
      </c>
      <c r="D58" t="s">
        <v>258</v>
      </c>
      <c r="E58" t="s">
        <v>419</v>
      </c>
      <c r="F58" t="s">
        <v>419</v>
      </c>
      <c r="G58" t="s">
        <v>260</v>
      </c>
      <c r="H58" s="4" t="s">
        <v>419</v>
      </c>
      <c r="I58">
        <v>2167</v>
      </c>
      <c r="J58" s="6" t="s">
        <v>262</v>
      </c>
      <c r="K58" t="s">
        <v>420</v>
      </c>
    </row>
    <row r="59" spans="1:11" x14ac:dyDescent="0.2">
      <c r="A59" t="s">
        <v>223</v>
      </c>
      <c r="B59" t="s">
        <v>223</v>
      </c>
      <c r="C59" s="5" t="s">
        <v>275</v>
      </c>
      <c r="D59" t="s">
        <v>258</v>
      </c>
      <c r="E59" t="s">
        <v>273</v>
      </c>
      <c r="F59" t="s">
        <v>273</v>
      </c>
      <c r="G59" t="s">
        <v>260</v>
      </c>
      <c r="H59" s="7" t="s">
        <v>273</v>
      </c>
      <c r="I59" s="6">
        <v>47</v>
      </c>
      <c r="J59" s="6" t="s">
        <v>262</v>
      </c>
      <c r="K59" s="6" t="s">
        <v>274</v>
      </c>
    </row>
    <row r="60" spans="1:11" x14ac:dyDescent="0.2">
      <c r="A60" t="s">
        <v>50</v>
      </c>
      <c r="B60" s="11" t="s">
        <v>50</v>
      </c>
      <c r="C60" s="5" t="s">
        <v>50</v>
      </c>
      <c r="D60" t="s">
        <v>434</v>
      </c>
      <c r="E60" t="s">
        <v>441</v>
      </c>
      <c r="F60" t="s">
        <v>441</v>
      </c>
      <c r="G60" t="s">
        <v>260</v>
      </c>
      <c r="H60" s="4" t="s">
        <v>441</v>
      </c>
      <c r="I60">
        <v>2744</v>
      </c>
      <c r="J60" s="6" t="s">
        <v>262</v>
      </c>
      <c r="K60" t="s">
        <v>442</v>
      </c>
    </row>
    <row r="61" spans="1:11" x14ac:dyDescent="0.2">
      <c r="A61" t="s">
        <v>36</v>
      </c>
      <c r="B61" s="11" t="s">
        <v>36</v>
      </c>
      <c r="C61" s="5" t="s">
        <v>36</v>
      </c>
      <c r="D61" t="s">
        <v>303</v>
      </c>
      <c r="E61" t="s">
        <v>729</v>
      </c>
      <c r="F61" t="s">
        <v>729</v>
      </c>
      <c r="G61" t="s">
        <v>260</v>
      </c>
      <c r="J61" s="6" t="s">
        <v>262</v>
      </c>
    </row>
    <row r="62" spans="1:11" s="8" customFormat="1" x14ac:dyDescent="0.2">
      <c r="A62" t="s">
        <v>40</v>
      </c>
      <c r="B62" s="12" t="s">
        <v>393</v>
      </c>
      <c r="C62" s="9" t="s">
        <v>393</v>
      </c>
      <c r="D62" s="8" t="s">
        <v>361</v>
      </c>
      <c r="E62" s="8" t="s">
        <v>391</v>
      </c>
      <c r="F62" s="8" t="s">
        <v>391</v>
      </c>
      <c r="G62" s="8" t="s">
        <v>364</v>
      </c>
      <c r="H62" s="10" t="s">
        <v>391</v>
      </c>
      <c r="I62" s="8">
        <v>1723</v>
      </c>
      <c r="J62" s="8" t="s">
        <v>262</v>
      </c>
      <c r="K62" s="8" t="s">
        <v>392</v>
      </c>
    </row>
    <row r="63" spans="1:11" x14ac:dyDescent="0.2">
      <c r="A63" t="s">
        <v>44</v>
      </c>
      <c r="B63" s="11" t="s">
        <v>481</v>
      </c>
      <c r="C63" s="5" t="s">
        <v>481</v>
      </c>
      <c r="D63" t="s">
        <v>414</v>
      </c>
      <c r="E63" t="s">
        <v>478</v>
      </c>
      <c r="F63" t="s">
        <v>478</v>
      </c>
      <c r="G63" t="s">
        <v>260</v>
      </c>
      <c r="H63" s="4" t="s">
        <v>479</v>
      </c>
      <c r="I63">
        <v>3098</v>
      </c>
      <c r="J63" s="6" t="s">
        <v>262</v>
      </c>
      <c r="K63" t="s">
        <v>480</v>
      </c>
    </row>
    <row r="64" spans="1:11" x14ac:dyDescent="0.2">
      <c r="A64" t="s">
        <v>202</v>
      </c>
      <c r="B64" s="11" t="s">
        <v>202</v>
      </c>
      <c r="C64" s="5" t="s">
        <v>202</v>
      </c>
      <c r="D64" t="s">
        <v>518</v>
      </c>
      <c r="E64" t="s">
        <v>680</v>
      </c>
      <c r="F64" t="s">
        <v>680</v>
      </c>
      <c r="G64" t="s">
        <v>260</v>
      </c>
      <c r="H64" s="4" t="s">
        <v>680</v>
      </c>
      <c r="I64">
        <v>6557</v>
      </c>
      <c r="J64" s="6" t="s">
        <v>262</v>
      </c>
      <c r="K64" t="s">
        <v>681</v>
      </c>
    </row>
    <row r="65" spans="1:11" x14ac:dyDescent="0.2">
      <c r="A65" t="s">
        <v>48</v>
      </c>
      <c r="B65" s="11" t="s">
        <v>694</v>
      </c>
      <c r="C65" s="5" t="s">
        <v>694</v>
      </c>
      <c r="D65" t="s">
        <v>258</v>
      </c>
      <c r="E65" t="s">
        <v>695</v>
      </c>
      <c r="F65" t="s">
        <v>695</v>
      </c>
      <c r="G65" t="s">
        <v>260</v>
      </c>
      <c r="H65" s="4" t="s">
        <v>695</v>
      </c>
      <c r="I65">
        <v>6713</v>
      </c>
      <c r="J65" s="6" t="s">
        <v>262</v>
      </c>
      <c r="K65" t="s">
        <v>696</v>
      </c>
    </row>
    <row r="66" spans="1:11" x14ac:dyDescent="0.2">
      <c r="A66" t="s">
        <v>52</v>
      </c>
      <c r="B66" s="11" t="s">
        <v>421</v>
      </c>
      <c r="C66" s="5" t="s">
        <v>421</v>
      </c>
      <c r="D66" t="s">
        <v>258</v>
      </c>
      <c r="E66" t="s">
        <v>422</v>
      </c>
      <c r="F66" t="s">
        <v>422</v>
      </c>
      <c r="G66" t="s">
        <v>260</v>
      </c>
      <c r="H66" s="4" t="s">
        <v>422</v>
      </c>
      <c r="I66">
        <v>355</v>
      </c>
      <c r="J66" s="6" t="s">
        <v>262</v>
      </c>
      <c r="K66" t="s">
        <v>423</v>
      </c>
    </row>
    <row r="67" spans="1:11" x14ac:dyDescent="0.2">
      <c r="A67" t="s">
        <v>56</v>
      </c>
      <c r="B67" s="11" t="s">
        <v>56</v>
      </c>
      <c r="C67" s="5" t="s">
        <v>56</v>
      </c>
      <c r="D67" t="s">
        <v>518</v>
      </c>
      <c r="E67" t="s">
        <v>670</v>
      </c>
      <c r="F67" t="s">
        <v>670</v>
      </c>
      <c r="G67" t="s">
        <v>260</v>
      </c>
      <c r="H67" s="4" t="s">
        <v>671</v>
      </c>
      <c r="I67">
        <v>6523</v>
      </c>
      <c r="J67" s="6" t="s">
        <v>262</v>
      </c>
      <c r="K67" t="s">
        <v>672</v>
      </c>
    </row>
    <row r="68" spans="1:11" x14ac:dyDescent="0.2">
      <c r="A68" t="s">
        <v>57</v>
      </c>
      <c r="B68" s="11" t="s">
        <v>57</v>
      </c>
      <c r="C68" s="5" t="s">
        <v>57</v>
      </c>
      <c r="D68" t="s">
        <v>445</v>
      </c>
      <c r="E68" t="s">
        <v>446</v>
      </c>
      <c r="F68" t="s">
        <v>446</v>
      </c>
      <c r="G68" t="s">
        <v>260</v>
      </c>
      <c r="H68" s="4" t="s">
        <v>447</v>
      </c>
      <c r="I68">
        <v>8972</v>
      </c>
      <c r="J68" s="6" t="s">
        <v>262</v>
      </c>
      <c r="K68" t="s">
        <v>448</v>
      </c>
    </row>
    <row r="69" spans="1:11" x14ac:dyDescent="0.2">
      <c r="A69" t="s">
        <v>206</v>
      </c>
      <c r="B69" s="11" t="s">
        <v>596</v>
      </c>
      <c r="C69" s="5" t="s">
        <v>596</v>
      </c>
      <c r="D69" t="s">
        <v>406</v>
      </c>
      <c r="E69" t="s">
        <v>595</v>
      </c>
      <c r="F69" t="s">
        <v>595</v>
      </c>
      <c r="G69" t="s">
        <v>260</v>
      </c>
      <c r="H69" s="4" t="s">
        <v>592</v>
      </c>
      <c r="I69">
        <v>7415</v>
      </c>
      <c r="J69" s="6" t="s">
        <v>262</v>
      </c>
      <c r="K69" t="s">
        <v>593</v>
      </c>
    </row>
    <row r="70" spans="1:11" x14ac:dyDescent="0.2">
      <c r="A70" t="s">
        <v>210</v>
      </c>
      <c r="B70" s="11" t="s">
        <v>443</v>
      </c>
      <c r="C70" s="5" t="s">
        <v>443</v>
      </c>
      <c r="D70" t="s">
        <v>434</v>
      </c>
      <c r="E70" t="s">
        <v>441</v>
      </c>
      <c r="F70" t="s">
        <v>441</v>
      </c>
      <c r="G70" t="s">
        <v>260</v>
      </c>
      <c r="H70" s="4" t="s">
        <v>441</v>
      </c>
      <c r="I70">
        <v>2744</v>
      </c>
      <c r="J70" s="6" t="s">
        <v>262</v>
      </c>
      <c r="K70" t="s">
        <v>442</v>
      </c>
    </row>
    <row r="71" spans="1:11" x14ac:dyDescent="0.2">
      <c r="A71" t="s">
        <v>214</v>
      </c>
      <c r="B71" s="11" t="s">
        <v>628</v>
      </c>
      <c r="C71" s="5" t="s">
        <v>628</v>
      </c>
      <c r="D71" t="s">
        <v>629</v>
      </c>
      <c r="E71" t="s">
        <v>630</v>
      </c>
      <c r="F71" t="s">
        <v>630</v>
      </c>
      <c r="G71" t="s">
        <v>260</v>
      </c>
      <c r="H71" s="4" t="s">
        <v>630</v>
      </c>
      <c r="I71">
        <v>26227</v>
      </c>
      <c r="J71" s="6" t="s">
        <v>262</v>
      </c>
      <c r="K71" t="s">
        <v>631</v>
      </c>
    </row>
    <row r="72" spans="1:11" x14ac:dyDescent="0.2">
      <c r="A72" t="s">
        <v>61</v>
      </c>
      <c r="B72" s="11" t="s">
        <v>61</v>
      </c>
      <c r="C72" s="5" t="s">
        <v>61</v>
      </c>
      <c r="D72" t="s">
        <v>308</v>
      </c>
      <c r="E72" t="s">
        <v>724</v>
      </c>
      <c r="F72" t="s">
        <v>724</v>
      </c>
      <c r="G72" t="s">
        <v>260</v>
      </c>
      <c r="H72" s="4" t="s">
        <v>725</v>
      </c>
      <c r="I72">
        <v>7350</v>
      </c>
      <c r="J72" s="6" t="s">
        <v>262</v>
      </c>
      <c r="K72" t="s">
        <v>726</v>
      </c>
    </row>
    <row r="73" spans="1:11" x14ac:dyDescent="0.2">
      <c r="A73" t="s">
        <v>218</v>
      </c>
      <c r="B73" s="11" t="s">
        <v>218</v>
      </c>
      <c r="C73" s="5" t="s">
        <v>218</v>
      </c>
      <c r="D73" t="s">
        <v>406</v>
      </c>
      <c r="E73" t="s">
        <v>613</v>
      </c>
      <c r="F73" t="s">
        <v>613</v>
      </c>
      <c r="G73" t="s">
        <v>260</v>
      </c>
      <c r="H73" s="4" t="s">
        <v>614</v>
      </c>
      <c r="I73">
        <v>64714</v>
      </c>
      <c r="J73" s="6" t="s">
        <v>262</v>
      </c>
      <c r="K73" t="s">
        <v>615</v>
      </c>
    </row>
    <row r="74" spans="1:11" x14ac:dyDescent="0.2">
      <c r="A74" t="s">
        <v>65</v>
      </c>
      <c r="B74" s="11" t="s">
        <v>652</v>
      </c>
      <c r="C74" s="5" t="s">
        <v>652</v>
      </c>
      <c r="D74" t="s">
        <v>299</v>
      </c>
      <c r="E74" t="s">
        <v>653</v>
      </c>
      <c r="F74" t="s">
        <v>653</v>
      </c>
      <c r="G74" t="s">
        <v>260</v>
      </c>
      <c r="H74" s="4" t="s">
        <v>654</v>
      </c>
      <c r="I74">
        <v>5914</v>
      </c>
      <c r="J74" s="6" t="s">
        <v>262</v>
      </c>
      <c r="K74" t="s">
        <v>655</v>
      </c>
    </row>
    <row r="75" spans="1:11" x14ac:dyDescent="0.2">
      <c r="A75" t="s">
        <v>69</v>
      </c>
      <c r="B75" s="11" t="s">
        <v>69</v>
      </c>
      <c r="C75" s="5" t="s">
        <v>69</v>
      </c>
      <c r="D75" t="s">
        <v>299</v>
      </c>
      <c r="E75" t="s">
        <v>354</v>
      </c>
      <c r="F75" t="s">
        <v>354</v>
      </c>
      <c r="G75" t="s">
        <v>260</v>
      </c>
      <c r="H75" s="4" t="s">
        <v>354</v>
      </c>
      <c r="I75">
        <v>4513</v>
      </c>
      <c r="J75" s="6" t="s">
        <v>262</v>
      </c>
      <c r="K75" t="s">
        <v>355</v>
      </c>
    </row>
    <row r="76" spans="1:11" x14ac:dyDescent="0.2">
      <c r="A76" t="s">
        <v>73</v>
      </c>
      <c r="B76" s="11" t="s">
        <v>73</v>
      </c>
      <c r="C76" s="5" t="s">
        <v>73</v>
      </c>
      <c r="D76" t="s">
        <v>258</v>
      </c>
      <c r="E76" t="s">
        <v>422</v>
      </c>
      <c r="F76" t="s">
        <v>422</v>
      </c>
      <c r="G76" t="s">
        <v>260</v>
      </c>
      <c r="H76" s="4" t="s">
        <v>422</v>
      </c>
      <c r="I76">
        <v>355</v>
      </c>
      <c r="J76" s="6" t="s">
        <v>262</v>
      </c>
      <c r="K76" t="s">
        <v>423</v>
      </c>
    </row>
    <row r="77" spans="1:11" x14ac:dyDescent="0.2">
      <c r="A77" t="s">
        <v>222</v>
      </c>
      <c r="B77" s="11" t="s">
        <v>222</v>
      </c>
      <c r="C77" s="5" t="s">
        <v>222</v>
      </c>
      <c r="D77" t="s">
        <v>258</v>
      </c>
      <c r="E77" t="s">
        <v>529</v>
      </c>
      <c r="F77" t="s">
        <v>529</v>
      </c>
      <c r="G77" t="s">
        <v>260</v>
      </c>
      <c r="H77" s="4" t="s">
        <v>530</v>
      </c>
      <c r="I77">
        <v>5406</v>
      </c>
      <c r="J77" s="6" t="s">
        <v>262</v>
      </c>
      <c r="K77" t="s">
        <v>531</v>
      </c>
    </row>
    <row r="78" spans="1:11" x14ac:dyDescent="0.2">
      <c r="A78" t="s">
        <v>77</v>
      </c>
      <c r="B78" s="11" t="s">
        <v>686</v>
      </c>
      <c r="C78" s="5" t="s">
        <v>686</v>
      </c>
      <c r="D78" t="s">
        <v>518</v>
      </c>
      <c r="E78" t="s">
        <v>687</v>
      </c>
      <c r="F78" t="s">
        <v>687</v>
      </c>
      <c r="G78" t="s">
        <v>260</v>
      </c>
      <c r="J78" s="6" t="s">
        <v>262</v>
      </c>
    </row>
    <row r="79" spans="1:11" x14ac:dyDescent="0.2">
      <c r="A79" t="s">
        <v>204</v>
      </c>
      <c r="B79" s="11" t="s">
        <v>204</v>
      </c>
      <c r="C79" s="5" t="s">
        <v>204</v>
      </c>
      <c r="D79" t="s">
        <v>303</v>
      </c>
      <c r="E79" t="s">
        <v>714</v>
      </c>
      <c r="F79" t="s">
        <v>714</v>
      </c>
      <c r="G79" t="s">
        <v>260</v>
      </c>
      <c r="H79" s="4" t="s">
        <v>715</v>
      </c>
      <c r="I79">
        <v>7296</v>
      </c>
      <c r="J79" s="6" t="s">
        <v>262</v>
      </c>
      <c r="K79" t="s">
        <v>716</v>
      </c>
    </row>
    <row r="80" spans="1:11" x14ac:dyDescent="0.2">
      <c r="A80" t="s">
        <v>59</v>
      </c>
      <c r="B80" s="11" t="s">
        <v>59</v>
      </c>
      <c r="C80" s="5" t="s">
        <v>59</v>
      </c>
      <c r="D80" t="s">
        <v>518</v>
      </c>
      <c r="E80" t="s">
        <v>550</v>
      </c>
      <c r="F80" t="s">
        <v>550</v>
      </c>
      <c r="G80" t="s">
        <v>260</v>
      </c>
      <c r="H80" s="4" t="s">
        <v>547</v>
      </c>
      <c r="I80">
        <v>6566</v>
      </c>
      <c r="J80" s="6" t="s">
        <v>262</v>
      </c>
      <c r="K80" t="s">
        <v>548</v>
      </c>
    </row>
    <row r="81" spans="1:11" x14ac:dyDescent="0.2">
      <c r="A81" t="s">
        <v>63</v>
      </c>
      <c r="B81" s="11" t="s">
        <v>63</v>
      </c>
      <c r="C81" s="5" t="s">
        <v>63</v>
      </c>
      <c r="D81" t="s">
        <v>308</v>
      </c>
      <c r="E81" t="s">
        <v>644</v>
      </c>
      <c r="F81" t="s">
        <v>644</v>
      </c>
      <c r="G81" t="s">
        <v>260</v>
      </c>
      <c r="J81" s="6" t="s">
        <v>262</v>
      </c>
    </row>
    <row r="82" spans="1:11" x14ac:dyDescent="0.2">
      <c r="A82" t="s">
        <v>67</v>
      </c>
      <c r="B82" s="11" t="s">
        <v>732</v>
      </c>
      <c r="C82" s="5" t="s">
        <v>732</v>
      </c>
      <c r="D82" t="s">
        <v>518</v>
      </c>
      <c r="E82" t="s">
        <v>729</v>
      </c>
      <c r="F82" t="s">
        <v>729</v>
      </c>
      <c r="G82" t="s">
        <v>260</v>
      </c>
      <c r="J82" s="6" t="s">
        <v>262</v>
      </c>
    </row>
    <row r="83" spans="1:11" x14ac:dyDescent="0.2">
      <c r="A83" t="s">
        <v>71</v>
      </c>
      <c r="B83" s="11" t="s">
        <v>288</v>
      </c>
      <c r="C83" s="5" t="s">
        <v>288</v>
      </c>
      <c r="D83" t="s">
        <v>289</v>
      </c>
      <c r="E83" t="s">
        <v>290</v>
      </c>
      <c r="F83" t="s">
        <v>290</v>
      </c>
      <c r="G83" t="s">
        <v>260</v>
      </c>
      <c r="H83" s="4" t="s">
        <v>291</v>
      </c>
      <c r="I83">
        <v>9520</v>
      </c>
      <c r="J83" s="6" t="s">
        <v>262</v>
      </c>
      <c r="K83" t="s">
        <v>292</v>
      </c>
    </row>
    <row r="84" spans="1:11" x14ac:dyDescent="0.2">
      <c r="A84" t="s">
        <v>75</v>
      </c>
      <c r="B84" s="11" t="s">
        <v>285</v>
      </c>
      <c r="C84" s="5" t="s">
        <v>285</v>
      </c>
      <c r="D84" t="s">
        <v>258</v>
      </c>
      <c r="E84" t="s">
        <v>286</v>
      </c>
      <c r="F84" t="s">
        <v>286</v>
      </c>
      <c r="G84" t="s">
        <v>260</v>
      </c>
      <c r="H84" s="4" t="s">
        <v>286</v>
      </c>
      <c r="I84">
        <v>240</v>
      </c>
      <c r="J84" s="6" t="s">
        <v>262</v>
      </c>
      <c r="K84" t="s">
        <v>287</v>
      </c>
    </row>
    <row r="85" spans="1:11" x14ac:dyDescent="0.2">
      <c r="A85" t="s">
        <v>79</v>
      </c>
      <c r="B85" s="11" t="s">
        <v>79</v>
      </c>
      <c r="C85" s="5" t="s">
        <v>79</v>
      </c>
      <c r="D85" t="s">
        <v>361</v>
      </c>
      <c r="E85" t="s">
        <v>506</v>
      </c>
      <c r="F85" t="s">
        <v>506</v>
      </c>
      <c r="G85" t="s">
        <v>260</v>
      </c>
      <c r="H85" s="4" t="s">
        <v>384</v>
      </c>
      <c r="I85">
        <v>5422</v>
      </c>
      <c r="J85" s="6" t="s">
        <v>262</v>
      </c>
      <c r="K85" t="s">
        <v>385</v>
      </c>
    </row>
    <row r="86" spans="1:11" x14ac:dyDescent="0.2">
      <c r="A86" t="s">
        <v>208</v>
      </c>
      <c r="B86" s="11" t="s">
        <v>609</v>
      </c>
      <c r="C86" s="5" t="s">
        <v>609</v>
      </c>
      <c r="D86" t="s">
        <v>308</v>
      </c>
      <c r="E86" t="s">
        <v>610</v>
      </c>
      <c r="F86" t="s">
        <v>610</v>
      </c>
      <c r="G86" t="s">
        <v>260</v>
      </c>
      <c r="H86" s="4" t="s">
        <v>611</v>
      </c>
      <c r="I86">
        <v>5160</v>
      </c>
      <c r="J86" s="6" t="s">
        <v>262</v>
      </c>
      <c r="K86" t="s">
        <v>612</v>
      </c>
    </row>
    <row r="87" spans="1:11" x14ac:dyDescent="0.2">
      <c r="A87" t="s">
        <v>212</v>
      </c>
      <c r="B87" s="11" t="s">
        <v>212</v>
      </c>
      <c r="C87" s="5" t="s">
        <v>212</v>
      </c>
      <c r="D87" t="s">
        <v>303</v>
      </c>
      <c r="E87" t="s">
        <v>729</v>
      </c>
      <c r="F87" t="s">
        <v>729</v>
      </c>
      <c r="G87" t="s">
        <v>260</v>
      </c>
      <c r="J87" s="6" t="s">
        <v>262</v>
      </c>
    </row>
    <row r="88" spans="1:11" x14ac:dyDescent="0.2">
      <c r="A88" t="s">
        <v>58</v>
      </c>
      <c r="B88" s="12" t="s">
        <v>360</v>
      </c>
      <c r="C88" s="9" t="s">
        <v>360</v>
      </c>
      <c r="D88" s="8" t="s">
        <v>361</v>
      </c>
      <c r="E88" s="8" t="s">
        <v>362</v>
      </c>
      <c r="F88" s="8" t="s">
        <v>363</v>
      </c>
      <c r="G88" s="8" t="s">
        <v>364</v>
      </c>
      <c r="H88" s="10" t="s">
        <v>365</v>
      </c>
      <c r="I88" s="8">
        <v>1503</v>
      </c>
      <c r="J88" s="6" t="s">
        <v>262</v>
      </c>
      <c r="K88" s="8" t="s">
        <v>366</v>
      </c>
    </row>
    <row r="89" spans="1:11" x14ac:dyDescent="0.2">
      <c r="A89" t="s">
        <v>62</v>
      </c>
      <c r="B89" s="11" t="s">
        <v>62</v>
      </c>
      <c r="C89" s="5" t="s">
        <v>62</v>
      </c>
      <c r="D89" t="s">
        <v>518</v>
      </c>
      <c r="E89" t="s">
        <v>674</v>
      </c>
      <c r="F89" t="s">
        <v>674</v>
      </c>
      <c r="G89" t="s">
        <v>260</v>
      </c>
      <c r="H89" s="4" t="s">
        <v>675</v>
      </c>
      <c r="I89">
        <v>6524</v>
      </c>
      <c r="J89" s="6" t="s">
        <v>262</v>
      </c>
      <c r="K89" t="s">
        <v>676</v>
      </c>
    </row>
    <row r="90" spans="1:11" x14ac:dyDescent="0.2">
      <c r="A90" t="s">
        <v>216</v>
      </c>
      <c r="B90" s="11" t="s">
        <v>638</v>
      </c>
      <c r="C90" s="5" t="s">
        <v>638</v>
      </c>
      <c r="D90" t="s">
        <v>414</v>
      </c>
      <c r="E90" t="s">
        <v>637</v>
      </c>
      <c r="F90" t="s">
        <v>637</v>
      </c>
      <c r="G90" t="s">
        <v>260</v>
      </c>
      <c r="H90" s="4" t="s">
        <v>634</v>
      </c>
      <c r="I90">
        <v>5315</v>
      </c>
      <c r="J90" s="6" t="s">
        <v>262</v>
      </c>
      <c r="K90" t="s">
        <v>635</v>
      </c>
    </row>
    <row r="91" spans="1:11" x14ac:dyDescent="0.2">
      <c r="A91" t="s">
        <v>66</v>
      </c>
      <c r="B91" s="11" t="s">
        <v>66</v>
      </c>
      <c r="C91" s="5" t="s">
        <v>66</v>
      </c>
      <c r="D91" t="s">
        <v>308</v>
      </c>
      <c r="E91" t="s">
        <v>616</v>
      </c>
      <c r="F91" t="s">
        <v>616</v>
      </c>
      <c r="G91" t="s">
        <v>260</v>
      </c>
      <c r="H91" s="4" t="s">
        <v>617</v>
      </c>
      <c r="I91">
        <v>5163</v>
      </c>
      <c r="J91" s="6" t="s">
        <v>262</v>
      </c>
      <c r="K91" t="s">
        <v>618</v>
      </c>
    </row>
    <row r="92" spans="1:11" x14ac:dyDescent="0.2">
      <c r="A92" t="s">
        <v>220</v>
      </c>
      <c r="B92" s="11" t="s">
        <v>220</v>
      </c>
      <c r="C92" s="5" t="s">
        <v>220</v>
      </c>
      <c r="D92" t="s">
        <v>308</v>
      </c>
      <c r="E92" t="s">
        <v>525</v>
      </c>
      <c r="F92" t="s">
        <v>525</v>
      </c>
      <c r="G92" t="s">
        <v>260</v>
      </c>
      <c r="H92" s="4" t="s">
        <v>382</v>
      </c>
      <c r="J92" s="6" t="s">
        <v>262</v>
      </c>
    </row>
    <row r="93" spans="1:11" x14ac:dyDescent="0.2">
      <c r="A93" t="s">
        <v>74</v>
      </c>
      <c r="B93" s="11" t="s">
        <v>74</v>
      </c>
      <c r="C93" s="5" t="s">
        <v>74</v>
      </c>
      <c r="D93" t="s">
        <v>317</v>
      </c>
      <c r="E93" t="s">
        <v>471</v>
      </c>
      <c r="F93" t="s">
        <v>471</v>
      </c>
      <c r="G93" t="s">
        <v>260</v>
      </c>
      <c r="H93" s="4" t="s">
        <v>471</v>
      </c>
      <c r="I93">
        <v>3091</v>
      </c>
      <c r="J93" s="6" t="s">
        <v>262</v>
      </c>
      <c r="K93" t="s">
        <v>472</v>
      </c>
    </row>
    <row r="94" spans="1:11" x14ac:dyDescent="0.2">
      <c r="A94" t="s">
        <v>78</v>
      </c>
      <c r="B94" s="11" t="s">
        <v>78</v>
      </c>
      <c r="C94" s="5" t="s">
        <v>78</v>
      </c>
      <c r="D94" t="s">
        <v>303</v>
      </c>
      <c r="E94" t="s">
        <v>438</v>
      </c>
      <c r="F94" t="s">
        <v>438</v>
      </c>
      <c r="G94" t="s">
        <v>260</v>
      </c>
      <c r="H94" s="4" t="s">
        <v>439</v>
      </c>
      <c r="I94">
        <v>2678</v>
      </c>
      <c r="J94" s="6" t="s">
        <v>262</v>
      </c>
      <c r="K94" t="s">
        <v>440</v>
      </c>
    </row>
    <row r="95" spans="1:11" x14ac:dyDescent="0.2">
      <c r="A95" t="s">
        <v>60</v>
      </c>
      <c r="B95" s="11" t="s">
        <v>566</v>
      </c>
      <c r="C95" s="5" t="s">
        <v>566</v>
      </c>
      <c r="D95" t="s">
        <v>303</v>
      </c>
      <c r="E95" t="s">
        <v>567</v>
      </c>
      <c r="F95" t="s">
        <v>567</v>
      </c>
      <c r="G95" t="s">
        <v>260</v>
      </c>
      <c r="J95" s="6" t="s">
        <v>262</v>
      </c>
    </row>
    <row r="96" spans="1:11" x14ac:dyDescent="0.2">
      <c r="A96" t="s">
        <v>64</v>
      </c>
      <c r="B96" s="11" t="s">
        <v>64</v>
      </c>
      <c r="C96" s="5" t="s">
        <v>64</v>
      </c>
      <c r="D96" t="s">
        <v>299</v>
      </c>
      <c r="E96" t="s">
        <v>606</v>
      </c>
      <c r="F96" t="s">
        <v>606</v>
      </c>
      <c r="G96" t="s">
        <v>260</v>
      </c>
      <c r="H96" s="4" t="s">
        <v>607</v>
      </c>
      <c r="I96">
        <v>8654</v>
      </c>
      <c r="J96" s="6" t="s">
        <v>262</v>
      </c>
      <c r="K96" t="s">
        <v>608</v>
      </c>
    </row>
    <row r="97" spans="1:11" x14ac:dyDescent="0.2">
      <c r="A97" t="s">
        <v>68</v>
      </c>
      <c r="B97" s="11" t="s">
        <v>68</v>
      </c>
      <c r="C97" s="5" t="s">
        <v>68</v>
      </c>
      <c r="D97" t="s">
        <v>258</v>
      </c>
      <c r="E97" t="s">
        <v>282</v>
      </c>
      <c r="F97" t="s">
        <v>282</v>
      </c>
      <c r="G97" t="s">
        <v>260</v>
      </c>
      <c r="H97" s="4" t="s">
        <v>283</v>
      </c>
      <c r="I97">
        <v>216</v>
      </c>
      <c r="J97" s="6" t="s">
        <v>262</v>
      </c>
      <c r="K97" t="s">
        <v>284</v>
      </c>
    </row>
    <row r="98" spans="1:11" x14ac:dyDescent="0.2">
      <c r="A98" t="s">
        <v>72</v>
      </c>
      <c r="B98" s="11" t="s">
        <v>582</v>
      </c>
      <c r="C98" s="5" t="s">
        <v>582</v>
      </c>
      <c r="D98" t="s">
        <v>583</v>
      </c>
      <c r="E98" t="s">
        <v>584</v>
      </c>
      <c r="F98" t="s">
        <v>584</v>
      </c>
      <c r="G98" t="s">
        <v>260</v>
      </c>
      <c r="H98" s="4" t="s">
        <v>585</v>
      </c>
      <c r="I98">
        <v>4953</v>
      </c>
      <c r="J98" s="6" t="s">
        <v>262</v>
      </c>
      <c r="K98" t="s">
        <v>586</v>
      </c>
    </row>
    <row r="99" spans="1:11" s="8" customFormat="1" x14ac:dyDescent="0.2">
      <c r="A99" t="s">
        <v>76</v>
      </c>
      <c r="B99" t="s">
        <v>76</v>
      </c>
      <c r="C99" s="5" t="s">
        <v>460</v>
      </c>
      <c r="D99" t="s">
        <v>303</v>
      </c>
      <c r="E99" t="s">
        <v>461</v>
      </c>
      <c r="F99" t="s">
        <v>461</v>
      </c>
      <c r="G99" t="s">
        <v>260</v>
      </c>
      <c r="H99" s="4" t="s">
        <v>462</v>
      </c>
      <c r="I99">
        <v>2597</v>
      </c>
      <c r="J99" s="6" t="s">
        <v>262</v>
      </c>
      <c r="K99" t="s">
        <v>463</v>
      </c>
    </row>
    <row r="100" spans="1:11" x14ac:dyDescent="0.2">
      <c r="A100" t="s">
        <v>81</v>
      </c>
      <c r="B100" s="11" t="s">
        <v>297</v>
      </c>
      <c r="C100" s="5" t="s">
        <v>297</v>
      </c>
      <c r="D100" t="s">
        <v>293</v>
      </c>
      <c r="E100" t="s">
        <v>293</v>
      </c>
      <c r="F100" t="s">
        <v>293</v>
      </c>
      <c r="G100" t="s">
        <v>260</v>
      </c>
      <c r="H100" s="4" t="s">
        <v>295</v>
      </c>
      <c r="I100">
        <v>5562</v>
      </c>
      <c r="J100" s="6" t="s">
        <v>262</v>
      </c>
      <c r="K100" t="s">
        <v>296</v>
      </c>
    </row>
    <row r="101" spans="1:11" x14ac:dyDescent="0.2">
      <c r="A101" t="s">
        <v>85</v>
      </c>
      <c r="B101" s="11" t="s">
        <v>85</v>
      </c>
      <c r="C101" s="5" t="s">
        <v>85</v>
      </c>
      <c r="D101" t="s">
        <v>317</v>
      </c>
      <c r="E101" t="s">
        <v>318</v>
      </c>
      <c r="F101" t="s">
        <v>318</v>
      </c>
      <c r="G101" t="s">
        <v>260</v>
      </c>
      <c r="H101" s="4" t="s">
        <v>319</v>
      </c>
      <c r="I101">
        <v>760</v>
      </c>
      <c r="J101" s="6" t="s">
        <v>262</v>
      </c>
      <c r="K101" t="s">
        <v>320</v>
      </c>
    </row>
    <row r="102" spans="1:11" x14ac:dyDescent="0.2">
      <c r="A102" t="s">
        <v>224</v>
      </c>
      <c r="B102" s="11" t="s">
        <v>224</v>
      </c>
      <c r="C102" s="5" t="s">
        <v>224</v>
      </c>
      <c r="D102" t="s">
        <v>303</v>
      </c>
      <c r="E102" t="s">
        <v>729</v>
      </c>
      <c r="F102" t="s">
        <v>729</v>
      </c>
      <c r="G102" t="s">
        <v>260</v>
      </c>
      <c r="J102" s="6" t="s">
        <v>262</v>
      </c>
    </row>
    <row r="103" spans="1:11" x14ac:dyDescent="0.2">
      <c r="A103" t="s">
        <v>225</v>
      </c>
      <c r="B103" s="11" t="s">
        <v>597</v>
      </c>
      <c r="C103" s="5" t="s">
        <v>597</v>
      </c>
      <c r="D103" t="s">
        <v>406</v>
      </c>
      <c r="E103" t="s">
        <v>595</v>
      </c>
      <c r="F103" t="s">
        <v>595</v>
      </c>
      <c r="G103" t="s">
        <v>260</v>
      </c>
      <c r="H103" s="4" t="s">
        <v>592</v>
      </c>
      <c r="I103">
        <v>7415</v>
      </c>
      <c r="J103" s="6" t="s">
        <v>262</v>
      </c>
      <c r="K103" t="s">
        <v>593</v>
      </c>
    </row>
    <row r="104" spans="1:11" x14ac:dyDescent="0.2">
      <c r="A104" t="s">
        <v>93</v>
      </c>
      <c r="B104" s="11" t="s">
        <v>93</v>
      </c>
      <c r="C104" s="5" t="s">
        <v>93</v>
      </c>
      <c r="D104" t="s">
        <v>303</v>
      </c>
      <c r="E104" t="s">
        <v>729</v>
      </c>
      <c r="F104" t="s">
        <v>729</v>
      </c>
      <c r="G104" t="s">
        <v>260</v>
      </c>
      <c r="J104" s="6" t="s">
        <v>262</v>
      </c>
    </row>
    <row r="105" spans="1:11" x14ac:dyDescent="0.2">
      <c r="A105" t="s">
        <v>89</v>
      </c>
      <c r="B105" s="11" t="s">
        <v>89</v>
      </c>
      <c r="C105" s="5" t="s">
        <v>89</v>
      </c>
      <c r="D105" t="s">
        <v>445</v>
      </c>
      <c r="E105" t="s">
        <v>677</v>
      </c>
      <c r="F105" t="s">
        <v>677</v>
      </c>
      <c r="G105" t="s">
        <v>260</v>
      </c>
      <c r="H105" s="4" t="s">
        <v>675</v>
      </c>
      <c r="I105">
        <v>6524</v>
      </c>
      <c r="J105" s="6" t="s">
        <v>262</v>
      </c>
      <c r="K105" t="s">
        <v>676</v>
      </c>
    </row>
    <row r="106" spans="1:11" x14ac:dyDescent="0.2">
      <c r="A106" t="s">
        <v>101</v>
      </c>
      <c r="B106" s="11" t="s">
        <v>101</v>
      </c>
      <c r="C106" s="5" t="s">
        <v>101</v>
      </c>
      <c r="D106" t="s">
        <v>303</v>
      </c>
      <c r="E106" t="s">
        <v>729</v>
      </c>
      <c r="F106" t="s">
        <v>729</v>
      </c>
      <c r="G106" t="s">
        <v>260</v>
      </c>
      <c r="H106" s="4" t="s">
        <v>733</v>
      </c>
      <c r="I106">
        <v>23657</v>
      </c>
      <c r="J106" s="6" t="s">
        <v>262</v>
      </c>
      <c r="K106" t="s">
        <v>734</v>
      </c>
    </row>
    <row r="107" spans="1:11" x14ac:dyDescent="0.2">
      <c r="A107" t="s">
        <v>83</v>
      </c>
      <c r="B107" s="11" t="s">
        <v>554</v>
      </c>
      <c r="C107" s="5" t="s">
        <v>554</v>
      </c>
      <c r="D107" t="s">
        <v>308</v>
      </c>
      <c r="E107" t="s">
        <v>555</v>
      </c>
      <c r="F107" t="s">
        <v>555</v>
      </c>
      <c r="G107" t="s">
        <v>260</v>
      </c>
      <c r="H107" s="4" t="s">
        <v>552</v>
      </c>
      <c r="I107">
        <v>5428</v>
      </c>
      <c r="J107" s="6" t="s">
        <v>262</v>
      </c>
      <c r="K107" t="s">
        <v>553</v>
      </c>
    </row>
    <row r="108" spans="1:11" x14ac:dyDescent="0.2">
      <c r="A108" t="s">
        <v>227</v>
      </c>
      <c r="B108" s="11" t="s">
        <v>227</v>
      </c>
      <c r="C108" s="5" t="s">
        <v>227</v>
      </c>
      <c r="D108" t="s">
        <v>303</v>
      </c>
      <c r="E108" t="s">
        <v>468</v>
      </c>
      <c r="F108" t="s">
        <v>468</v>
      </c>
      <c r="G108" t="s">
        <v>260</v>
      </c>
      <c r="H108" s="4" t="s">
        <v>469</v>
      </c>
      <c r="I108">
        <v>2950</v>
      </c>
      <c r="J108" s="6" t="s">
        <v>262</v>
      </c>
      <c r="K108" t="s">
        <v>470</v>
      </c>
    </row>
    <row r="109" spans="1:11" x14ac:dyDescent="0.2">
      <c r="A109" t="s">
        <v>87</v>
      </c>
      <c r="B109" s="11" t="s">
        <v>698</v>
      </c>
      <c r="C109" s="5" t="s">
        <v>698</v>
      </c>
      <c r="D109" t="s">
        <v>258</v>
      </c>
      <c r="E109" t="s">
        <v>699</v>
      </c>
      <c r="F109" t="s">
        <v>699</v>
      </c>
      <c r="G109" t="s">
        <v>260</v>
      </c>
      <c r="H109" s="4" t="s">
        <v>700</v>
      </c>
      <c r="I109">
        <v>6720</v>
      </c>
      <c r="J109" s="6" t="s">
        <v>262</v>
      </c>
      <c r="K109" t="s">
        <v>701</v>
      </c>
    </row>
    <row r="110" spans="1:11" s="8" customFormat="1" x14ac:dyDescent="0.2">
      <c r="A110" t="s">
        <v>91</v>
      </c>
      <c r="B110" s="11" t="s">
        <v>91</v>
      </c>
      <c r="C110" s="5" t="s">
        <v>91</v>
      </c>
      <c r="D110" t="s">
        <v>308</v>
      </c>
      <c r="E110" t="s">
        <v>724</v>
      </c>
      <c r="F110" t="s">
        <v>724</v>
      </c>
      <c r="G110" t="s">
        <v>260</v>
      </c>
      <c r="H110" s="4" t="s">
        <v>725</v>
      </c>
      <c r="I110">
        <v>7350</v>
      </c>
      <c r="J110" s="6" t="s">
        <v>262</v>
      </c>
      <c r="K110" t="s">
        <v>726</v>
      </c>
    </row>
    <row r="111" spans="1:11" s="8" customFormat="1" x14ac:dyDescent="0.2">
      <c r="A111" t="s">
        <v>95</v>
      </c>
      <c r="B111" s="11" t="s">
        <v>95</v>
      </c>
      <c r="C111" s="5" t="s">
        <v>95</v>
      </c>
      <c r="D111" t="s">
        <v>361</v>
      </c>
      <c r="E111" t="s">
        <v>506</v>
      </c>
      <c r="F111" t="s">
        <v>506</v>
      </c>
      <c r="G111" t="s">
        <v>260</v>
      </c>
      <c r="H111" s="4" t="s">
        <v>646</v>
      </c>
      <c r="I111">
        <v>7498</v>
      </c>
      <c r="J111" s="6" t="s">
        <v>262</v>
      </c>
      <c r="K111" t="s">
        <v>647</v>
      </c>
    </row>
    <row r="112" spans="1:11" x14ac:dyDescent="0.2">
      <c r="A112" t="s">
        <v>99</v>
      </c>
      <c r="B112" s="11" t="s">
        <v>704</v>
      </c>
      <c r="C112" s="5" t="s">
        <v>704</v>
      </c>
      <c r="D112" t="s">
        <v>518</v>
      </c>
      <c r="E112" t="s">
        <v>705</v>
      </c>
      <c r="F112" t="s">
        <v>705</v>
      </c>
      <c r="G112" t="s">
        <v>260</v>
      </c>
      <c r="H112" s="4" t="s">
        <v>706</v>
      </c>
      <c r="I112">
        <v>80704</v>
      </c>
      <c r="J112" s="6" t="s">
        <v>262</v>
      </c>
      <c r="K112" t="s">
        <v>707</v>
      </c>
    </row>
    <row r="113" spans="1:11" s="8" customFormat="1" x14ac:dyDescent="0.2">
      <c r="A113" t="s">
        <v>103</v>
      </c>
      <c r="B113" s="11" t="s">
        <v>103</v>
      </c>
      <c r="C113" s="5" t="s">
        <v>103</v>
      </c>
      <c r="D113" t="s">
        <v>299</v>
      </c>
      <c r="E113" t="s">
        <v>653</v>
      </c>
      <c r="F113" t="s">
        <v>653</v>
      </c>
      <c r="G113" t="s">
        <v>260</v>
      </c>
      <c r="H113" s="4" t="s">
        <v>654</v>
      </c>
      <c r="I113">
        <v>5914</v>
      </c>
      <c r="J113" s="6" t="s">
        <v>262</v>
      </c>
      <c r="K113" t="s">
        <v>655</v>
      </c>
    </row>
    <row r="114" spans="1:11" s="8" customFormat="1" x14ac:dyDescent="0.2">
      <c r="A114" t="s">
        <v>82</v>
      </c>
      <c r="B114" s="11" t="s">
        <v>82</v>
      </c>
      <c r="C114" s="5" t="s">
        <v>82</v>
      </c>
      <c r="D114" t="s">
        <v>299</v>
      </c>
      <c r="E114" t="s">
        <v>394</v>
      </c>
      <c r="F114" t="s">
        <v>394</v>
      </c>
      <c r="G114" t="s">
        <v>260</v>
      </c>
      <c r="H114" s="4" t="s">
        <v>395</v>
      </c>
      <c r="I114">
        <v>6715</v>
      </c>
      <c r="J114" s="6" t="s">
        <v>262</v>
      </c>
      <c r="K114" t="s">
        <v>396</v>
      </c>
    </row>
    <row r="115" spans="1:11" x14ac:dyDescent="0.2">
      <c r="A115" t="s">
        <v>86</v>
      </c>
      <c r="B115" s="11" t="s">
        <v>657</v>
      </c>
      <c r="C115" s="5" t="s">
        <v>657</v>
      </c>
      <c r="D115" t="s">
        <v>299</v>
      </c>
      <c r="E115" t="s">
        <v>658</v>
      </c>
      <c r="F115" t="s">
        <v>658</v>
      </c>
      <c r="G115" t="s">
        <v>260</v>
      </c>
      <c r="H115" s="4" t="s">
        <v>658</v>
      </c>
      <c r="I115">
        <v>1901</v>
      </c>
      <c r="J115" s="6" t="s">
        <v>262</v>
      </c>
      <c r="K115" t="s">
        <v>659</v>
      </c>
    </row>
    <row r="116" spans="1:11" x14ac:dyDescent="0.2">
      <c r="A116" t="s">
        <v>90</v>
      </c>
      <c r="B116" s="11" t="s">
        <v>556</v>
      </c>
      <c r="C116" s="5" t="s">
        <v>556</v>
      </c>
      <c r="D116" t="s">
        <v>557</v>
      </c>
      <c r="E116" t="s">
        <v>558</v>
      </c>
      <c r="F116" t="s">
        <v>558</v>
      </c>
      <c r="G116" t="s">
        <v>260</v>
      </c>
      <c r="H116" s="4" t="s">
        <v>558</v>
      </c>
      <c r="I116">
        <v>10135</v>
      </c>
      <c r="J116" s="6" t="s">
        <v>262</v>
      </c>
      <c r="K116" t="s">
        <v>559</v>
      </c>
    </row>
    <row r="117" spans="1:11" x14ac:dyDescent="0.2">
      <c r="A117" t="s">
        <v>94</v>
      </c>
      <c r="B117" s="11" t="s">
        <v>94</v>
      </c>
      <c r="C117" s="5" t="s">
        <v>94</v>
      </c>
      <c r="D117" t="s">
        <v>361</v>
      </c>
      <c r="E117" t="s">
        <v>506</v>
      </c>
      <c r="F117" t="s">
        <v>506</v>
      </c>
      <c r="G117" t="s">
        <v>260</v>
      </c>
      <c r="H117" s="4" t="s">
        <v>648</v>
      </c>
      <c r="I117">
        <v>6240</v>
      </c>
      <c r="J117" s="6" t="s">
        <v>262</v>
      </c>
      <c r="K117" t="s">
        <v>649</v>
      </c>
    </row>
    <row r="118" spans="1:11" x14ac:dyDescent="0.2">
      <c r="A118" t="s">
        <v>98</v>
      </c>
      <c r="B118" s="11" t="s">
        <v>667</v>
      </c>
      <c r="C118" s="5" t="s">
        <v>667</v>
      </c>
      <c r="D118" t="s">
        <v>518</v>
      </c>
      <c r="E118" t="s">
        <v>668</v>
      </c>
      <c r="F118" t="s">
        <v>668</v>
      </c>
      <c r="G118" t="s">
        <v>260</v>
      </c>
      <c r="J118" s="6" t="s">
        <v>262</v>
      </c>
    </row>
    <row r="119" spans="1:11" x14ac:dyDescent="0.2">
      <c r="A119" t="s">
        <v>102</v>
      </c>
      <c r="B119" s="11" t="s">
        <v>102</v>
      </c>
      <c r="C119" s="5" t="s">
        <v>102</v>
      </c>
      <c r="D119" t="s">
        <v>276</v>
      </c>
      <c r="E119" t="s">
        <v>277</v>
      </c>
      <c r="F119" t="s">
        <v>277</v>
      </c>
      <c r="G119" t="s">
        <v>260</v>
      </c>
      <c r="H119" s="4" t="s">
        <v>278</v>
      </c>
      <c r="I119">
        <v>124</v>
      </c>
      <c r="J119" s="6" t="s">
        <v>262</v>
      </c>
      <c r="K119" t="s">
        <v>279</v>
      </c>
    </row>
    <row r="120" spans="1:11" x14ac:dyDescent="0.2">
      <c r="A120" t="s">
        <v>229</v>
      </c>
      <c r="B120" s="11" t="s">
        <v>229</v>
      </c>
      <c r="C120" s="5" t="s">
        <v>229</v>
      </c>
      <c r="D120" t="s">
        <v>518</v>
      </c>
      <c r="E120" t="s">
        <v>680</v>
      </c>
      <c r="F120" t="s">
        <v>680</v>
      </c>
      <c r="G120" t="s">
        <v>260</v>
      </c>
      <c r="H120" s="4" t="s">
        <v>680</v>
      </c>
      <c r="I120">
        <v>6557</v>
      </c>
      <c r="J120" s="6" t="s">
        <v>262</v>
      </c>
      <c r="K120" t="s">
        <v>681</v>
      </c>
    </row>
    <row r="121" spans="1:11" x14ac:dyDescent="0.2">
      <c r="A121" t="s">
        <v>84</v>
      </c>
      <c r="B121" s="11" t="s">
        <v>383</v>
      </c>
      <c r="C121" s="5" t="s">
        <v>383</v>
      </c>
      <c r="D121" t="s">
        <v>361</v>
      </c>
      <c r="E121" t="s">
        <v>362</v>
      </c>
      <c r="F121" t="s">
        <v>362</v>
      </c>
      <c r="G121" t="s">
        <v>260</v>
      </c>
      <c r="H121" s="4" t="s">
        <v>384</v>
      </c>
      <c r="I121">
        <v>5422</v>
      </c>
      <c r="J121" s="6" t="s">
        <v>262</v>
      </c>
      <c r="K121" t="s">
        <v>385</v>
      </c>
    </row>
    <row r="122" spans="1:11" s="8" customFormat="1" x14ac:dyDescent="0.2">
      <c r="A122" t="s">
        <v>231</v>
      </c>
      <c r="B122" s="11" t="s">
        <v>231</v>
      </c>
      <c r="C122" s="5" t="s">
        <v>231</v>
      </c>
      <c r="D122" t="s">
        <v>303</v>
      </c>
      <c r="E122" t="s">
        <v>438</v>
      </c>
      <c r="F122" t="s">
        <v>438</v>
      </c>
      <c r="G122" t="s">
        <v>260</v>
      </c>
      <c r="H122" s="4" t="s">
        <v>439</v>
      </c>
      <c r="I122">
        <v>2678</v>
      </c>
      <c r="J122" s="6" t="s">
        <v>262</v>
      </c>
      <c r="K122" t="s">
        <v>440</v>
      </c>
    </row>
    <row r="123" spans="1:11" x14ac:dyDescent="0.2">
      <c r="A123" t="s">
        <v>88</v>
      </c>
      <c r="B123" s="11" t="s">
        <v>88</v>
      </c>
      <c r="C123" s="5" t="s">
        <v>88</v>
      </c>
      <c r="D123" t="s">
        <v>414</v>
      </c>
      <c r="E123" t="s">
        <v>526</v>
      </c>
      <c r="F123" t="s">
        <v>526</v>
      </c>
      <c r="G123" t="s">
        <v>260</v>
      </c>
      <c r="H123" s="4" t="s">
        <v>527</v>
      </c>
      <c r="I123">
        <v>3948</v>
      </c>
      <c r="J123" s="6" t="s">
        <v>262</v>
      </c>
      <c r="K123" t="s">
        <v>528</v>
      </c>
    </row>
    <row r="124" spans="1:11" x14ac:dyDescent="0.2">
      <c r="A124" t="s">
        <v>92</v>
      </c>
      <c r="B124" s="11" t="s">
        <v>560</v>
      </c>
      <c r="C124" s="5" t="s">
        <v>560</v>
      </c>
      <c r="D124" t="s">
        <v>557</v>
      </c>
      <c r="E124" t="s">
        <v>558</v>
      </c>
      <c r="F124" t="s">
        <v>558</v>
      </c>
      <c r="G124" t="s">
        <v>260</v>
      </c>
      <c r="H124" s="4" t="s">
        <v>558</v>
      </c>
      <c r="I124">
        <v>10135</v>
      </c>
      <c r="J124" s="6" t="s">
        <v>262</v>
      </c>
      <c r="K124" t="s">
        <v>559</v>
      </c>
    </row>
    <row r="125" spans="1:11" x14ac:dyDescent="0.2">
      <c r="A125" t="s">
        <v>96</v>
      </c>
      <c r="B125" s="11" t="s">
        <v>424</v>
      </c>
      <c r="C125" s="5" t="s">
        <v>424</v>
      </c>
      <c r="D125" t="s">
        <v>258</v>
      </c>
      <c r="E125" t="s">
        <v>422</v>
      </c>
      <c r="F125" t="s">
        <v>422</v>
      </c>
      <c r="G125" t="s">
        <v>260</v>
      </c>
      <c r="H125" s="4" t="s">
        <v>422</v>
      </c>
      <c r="I125">
        <v>355</v>
      </c>
      <c r="J125" s="6" t="s">
        <v>262</v>
      </c>
      <c r="K125" t="s">
        <v>423</v>
      </c>
    </row>
    <row r="126" spans="1:11" x14ac:dyDescent="0.2">
      <c r="A126" t="s">
        <v>100</v>
      </c>
      <c r="B126" s="11" t="s">
        <v>100</v>
      </c>
      <c r="C126" s="5" t="s">
        <v>100</v>
      </c>
      <c r="D126" t="s">
        <v>406</v>
      </c>
      <c r="E126" t="s">
        <v>620</v>
      </c>
      <c r="F126" t="s">
        <v>620</v>
      </c>
      <c r="G126" t="s">
        <v>260</v>
      </c>
      <c r="H126" s="4" t="s">
        <v>621</v>
      </c>
      <c r="I126">
        <v>9451</v>
      </c>
      <c r="J126" s="6" t="s">
        <v>262</v>
      </c>
      <c r="K126" t="s">
        <v>622</v>
      </c>
    </row>
    <row r="127" spans="1:11" x14ac:dyDescent="0.2">
      <c r="A127" t="s">
        <v>104</v>
      </c>
      <c r="B127" s="11" t="s">
        <v>104</v>
      </c>
      <c r="C127" s="5" t="s">
        <v>104</v>
      </c>
      <c r="D127" t="s">
        <v>299</v>
      </c>
      <c r="E127" t="s">
        <v>428</v>
      </c>
      <c r="F127" t="s">
        <v>428</v>
      </c>
      <c r="G127" t="s">
        <v>260</v>
      </c>
      <c r="J127" s="6" t="s">
        <v>262</v>
      </c>
    </row>
    <row r="128" spans="1:11" x14ac:dyDescent="0.2">
      <c r="A128" t="s">
        <v>105</v>
      </c>
      <c r="B128" s="11" t="s">
        <v>105</v>
      </c>
      <c r="C128" s="5" t="s">
        <v>105</v>
      </c>
      <c r="D128" t="s">
        <v>361</v>
      </c>
      <c r="E128" t="s">
        <v>656</v>
      </c>
      <c r="F128" t="s">
        <v>656</v>
      </c>
      <c r="G128" t="s">
        <v>260</v>
      </c>
      <c r="H128" s="4" t="s">
        <v>648</v>
      </c>
      <c r="I128">
        <v>6240</v>
      </c>
      <c r="J128" s="6" t="s">
        <v>262</v>
      </c>
      <c r="K128" t="s">
        <v>649</v>
      </c>
    </row>
    <row r="129" spans="1:11" x14ac:dyDescent="0.2">
      <c r="A129" t="s">
        <v>233</v>
      </c>
      <c r="B129" s="11" t="s">
        <v>233</v>
      </c>
      <c r="C129" s="5" t="s">
        <v>233</v>
      </c>
      <c r="D129" t="s">
        <v>445</v>
      </c>
      <c r="E129" t="s">
        <v>670</v>
      </c>
      <c r="F129" t="s">
        <v>670</v>
      </c>
      <c r="G129" t="s">
        <v>260</v>
      </c>
      <c r="H129" s="4" t="s">
        <v>671</v>
      </c>
      <c r="I129">
        <v>6523</v>
      </c>
      <c r="J129" s="6" t="s">
        <v>262</v>
      </c>
      <c r="K129" t="s">
        <v>672</v>
      </c>
    </row>
    <row r="130" spans="1:11" x14ac:dyDescent="0.2">
      <c r="A130" t="s">
        <v>109</v>
      </c>
      <c r="B130" s="11" t="s">
        <v>109</v>
      </c>
      <c r="C130" s="5" t="s">
        <v>109</v>
      </c>
      <c r="D130" t="s">
        <v>299</v>
      </c>
      <c r="E130" t="s">
        <v>653</v>
      </c>
      <c r="F130" t="s">
        <v>653</v>
      </c>
      <c r="G130" t="s">
        <v>260</v>
      </c>
      <c r="H130" s="4" t="s">
        <v>654</v>
      </c>
      <c r="I130">
        <v>5914</v>
      </c>
      <c r="J130" s="6" t="s">
        <v>262</v>
      </c>
      <c r="K130" t="s">
        <v>655</v>
      </c>
    </row>
    <row r="131" spans="1:11" x14ac:dyDescent="0.2">
      <c r="A131" t="s">
        <v>113</v>
      </c>
      <c r="B131" s="11" t="s">
        <v>113</v>
      </c>
      <c r="C131" s="5" t="s">
        <v>113</v>
      </c>
      <c r="D131" t="s">
        <v>258</v>
      </c>
      <c r="E131" t="s">
        <v>534</v>
      </c>
      <c r="F131" t="s">
        <v>534</v>
      </c>
      <c r="G131" t="s">
        <v>260</v>
      </c>
      <c r="H131" s="4" t="s">
        <v>535</v>
      </c>
      <c r="I131">
        <v>11343</v>
      </c>
      <c r="J131" s="6" t="s">
        <v>262</v>
      </c>
      <c r="K131" t="s">
        <v>536</v>
      </c>
    </row>
    <row r="132" spans="1:11" x14ac:dyDescent="0.2">
      <c r="A132" t="s">
        <v>117</v>
      </c>
      <c r="B132" s="11" t="s">
        <v>117</v>
      </c>
      <c r="C132" s="5" t="s">
        <v>117</v>
      </c>
      <c r="D132" t="s">
        <v>368</v>
      </c>
      <c r="E132" t="s">
        <v>379</v>
      </c>
      <c r="F132" t="s">
        <v>379</v>
      </c>
      <c r="G132" t="s">
        <v>260</v>
      </c>
      <c r="H132" s="4" t="s">
        <v>379</v>
      </c>
      <c r="I132">
        <v>1576</v>
      </c>
      <c r="J132" s="6" t="s">
        <v>262</v>
      </c>
      <c r="K132" t="s">
        <v>380</v>
      </c>
    </row>
    <row r="133" spans="1:11" x14ac:dyDescent="0.2">
      <c r="A133" t="s">
        <v>121</v>
      </c>
      <c r="B133" s="11" t="s">
        <v>121</v>
      </c>
      <c r="C133" s="5" t="s">
        <v>121</v>
      </c>
      <c r="D133" t="s">
        <v>445</v>
      </c>
      <c r="E133" t="s">
        <v>537</v>
      </c>
      <c r="F133" t="s">
        <v>537</v>
      </c>
      <c r="G133" t="s">
        <v>260</v>
      </c>
      <c r="H133" s="4" t="s">
        <v>538</v>
      </c>
      <c r="I133">
        <v>11253</v>
      </c>
      <c r="J133" s="6" t="s">
        <v>262</v>
      </c>
      <c r="K133" t="s">
        <v>539</v>
      </c>
    </row>
    <row r="134" spans="1:11" x14ac:dyDescent="0.2">
      <c r="A134" t="s">
        <v>125</v>
      </c>
      <c r="B134" s="11" t="s">
        <v>579</v>
      </c>
      <c r="C134" s="5" t="s">
        <v>579</v>
      </c>
      <c r="D134" t="s">
        <v>289</v>
      </c>
      <c r="E134" t="s">
        <v>580</v>
      </c>
      <c r="F134" t="s">
        <v>580</v>
      </c>
      <c r="G134" t="s">
        <v>260</v>
      </c>
      <c r="H134" s="4" t="s">
        <v>580</v>
      </c>
      <c r="I134">
        <v>4942</v>
      </c>
      <c r="J134" s="6" t="s">
        <v>262</v>
      </c>
      <c r="K134" t="s">
        <v>581</v>
      </c>
    </row>
    <row r="135" spans="1:11" x14ac:dyDescent="0.2">
      <c r="A135" t="s">
        <v>107</v>
      </c>
      <c r="B135" s="12" t="s">
        <v>107</v>
      </c>
      <c r="C135" s="9" t="s">
        <v>107</v>
      </c>
      <c r="D135" s="8" t="s">
        <v>361</v>
      </c>
      <c r="E135" s="8" t="s">
        <v>391</v>
      </c>
      <c r="F135" s="8" t="s">
        <v>391</v>
      </c>
      <c r="G135" s="8" t="s">
        <v>364</v>
      </c>
      <c r="H135" s="10" t="s">
        <v>391</v>
      </c>
      <c r="I135" s="8">
        <v>1723</v>
      </c>
      <c r="J135" s="8" t="s">
        <v>262</v>
      </c>
      <c r="K135" s="8" t="s">
        <v>392</v>
      </c>
    </row>
    <row r="136" spans="1:11" x14ac:dyDescent="0.2">
      <c r="A136" t="s">
        <v>111</v>
      </c>
      <c r="B136" s="11" t="s">
        <v>682</v>
      </c>
      <c r="C136" s="5" t="s">
        <v>682</v>
      </c>
      <c r="D136" t="s">
        <v>303</v>
      </c>
      <c r="E136" t="s">
        <v>683</v>
      </c>
      <c r="F136" t="s">
        <v>683</v>
      </c>
      <c r="G136" t="s">
        <v>260</v>
      </c>
      <c r="H136" s="4" t="s">
        <v>683</v>
      </c>
      <c r="I136">
        <v>6647</v>
      </c>
      <c r="J136" s="6" t="s">
        <v>262</v>
      </c>
      <c r="K136" t="s">
        <v>684</v>
      </c>
    </row>
    <row r="137" spans="1:11" x14ac:dyDescent="0.2">
      <c r="A137" t="s">
        <v>22</v>
      </c>
      <c r="B137" s="12" t="s">
        <v>22</v>
      </c>
      <c r="C137" s="9" t="s">
        <v>22</v>
      </c>
      <c r="D137" s="8" t="s">
        <v>361</v>
      </c>
      <c r="E137" s="8" t="s">
        <v>391</v>
      </c>
      <c r="F137" s="8" t="s">
        <v>391</v>
      </c>
      <c r="G137" s="8" t="s">
        <v>364</v>
      </c>
      <c r="H137" s="10" t="s">
        <v>391</v>
      </c>
      <c r="I137" s="8">
        <v>1723</v>
      </c>
      <c r="J137" s="8" t="s">
        <v>262</v>
      </c>
      <c r="K137" s="8" t="s">
        <v>392</v>
      </c>
    </row>
    <row r="138" spans="1:11" x14ac:dyDescent="0.2">
      <c r="A138" t="s">
        <v>235</v>
      </c>
      <c r="B138" s="11" t="s">
        <v>235</v>
      </c>
      <c r="C138" s="5" t="s">
        <v>235</v>
      </c>
      <c r="D138" t="s">
        <v>518</v>
      </c>
      <c r="E138" t="s">
        <v>738</v>
      </c>
      <c r="F138" t="s">
        <v>738</v>
      </c>
      <c r="G138" t="s">
        <v>260</v>
      </c>
      <c r="H138" s="4" t="s">
        <v>739</v>
      </c>
      <c r="I138">
        <v>116085</v>
      </c>
      <c r="J138" s="6" t="s">
        <v>262</v>
      </c>
      <c r="K138" t="s">
        <v>740</v>
      </c>
    </row>
    <row r="139" spans="1:11" x14ac:dyDescent="0.2">
      <c r="A139" t="s">
        <v>115</v>
      </c>
      <c r="B139" s="11" t="s">
        <v>115</v>
      </c>
      <c r="C139" s="5" t="s">
        <v>115</v>
      </c>
      <c r="D139" t="s">
        <v>308</v>
      </c>
      <c r="E139" t="s">
        <v>644</v>
      </c>
      <c r="F139" t="s">
        <v>644</v>
      </c>
      <c r="G139" t="s">
        <v>260</v>
      </c>
      <c r="J139" s="6" t="s">
        <v>262</v>
      </c>
    </row>
    <row r="140" spans="1:11" x14ac:dyDescent="0.2">
      <c r="A140" t="s">
        <v>248</v>
      </c>
      <c r="B140" s="11" t="s">
        <v>429</v>
      </c>
      <c r="C140" s="5" t="s">
        <v>429</v>
      </c>
      <c r="D140" t="s">
        <v>430</v>
      </c>
      <c r="E140" t="s">
        <v>431</v>
      </c>
      <c r="F140" t="s">
        <v>431</v>
      </c>
      <c r="G140" t="s">
        <v>260</v>
      </c>
      <c r="H140" s="4" t="s">
        <v>431</v>
      </c>
      <c r="I140">
        <v>2618</v>
      </c>
      <c r="J140" s="6" t="s">
        <v>262</v>
      </c>
      <c r="K140" t="s">
        <v>432</v>
      </c>
    </row>
    <row r="141" spans="1:11" x14ac:dyDescent="0.2">
      <c r="A141" t="s">
        <v>237</v>
      </c>
      <c r="B141" s="11" t="s">
        <v>237</v>
      </c>
      <c r="C141" s="5" t="s">
        <v>237</v>
      </c>
      <c r="D141" t="s">
        <v>414</v>
      </c>
      <c r="E141" t="s">
        <v>478</v>
      </c>
      <c r="F141" t="s">
        <v>478</v>
      </c>
      <c r="G141" t="s">
        <v>260</v>
      </c>
      <c r="H141" s="4" t="s">
        <v>479</v>
      </c>
      <c r="I141">
        <v>3098</v>
      </c>
      <c r="J141" s="6" t="s">
        <v>262</v>
      </c>
      <c r="K141" t="s">
        <v>480</v>
      </c>
    </row>
    <row r="142" spans="1:11" x14ac:dyDescent="0.2">
      <c r="A142" t="s">
        <v>119</v>
      </c>
      <c r="B142" s="11" t="s">
        <v>473</v>
      </c>
      <c r="C142" s="5" t="s">
        <v>473</v>
      </c>
      <c r="D142" t="s">
        <v>299</v>
      </c>
      <c r="E142" t="s">
        <v>474</v>
      </c>
      <c r="F142" t="s">
        <v>474</v>
      </c>
      <c r="G142" t="s">
        <v>260</v>
      </c>
      <c r="H142" s="4" t="s">
        <v>475</v>
      </c>
      <c r="I142">
        <v>1128</v>
      </c>
      <c r="J142" s="6" t="s">
        <v>262</v>
      </c>
      <c r="K142" t="s">
        <v>476</v>
      </c>
    </row>
    <row r="143" spans="1:11" x14ac:dyDescent="0.2">
      <c r="A143" t="s">
        <v>123</v>
      </c>
      <c r="B143" s="11" t="s">
        <v>532</v>
      </c>
      <c r="C143" s="5" t="s">
        <v>532</v>
      </c>
      <c r="D143" t="s">
        <v>406</v>
      </c>
      <c r="E143" t="s">
        <v>533</v>
      </c>
      <c r="F143" t="s">
        <v>533</v>
      </c>
      <c r="G143" t="s">
        <v>260</v>
      </c>
      <c r="H143" s="4" t="s">
        <v>382</v>
      </c>
      <c r="J143" s="6" t="s">
        <v>262</v>
      </c>
    </row>
    <row r="144" spans="1:11" x14ac:dyDescent="0.2">
      <c r="A144" t="s">
        <v>127</v>
      </c>
      <c r="B144" s="11" t="s">
        <v>127</v>
      </c>
      <c r="C144" s="5" t="s">
        <v>127</v>
      </c>
      <c r="D144" t="s">
        <v>303</v>
      </c>
      <c r="E144" t="s">
        <v>729</v>
      </c>
      <c r="F144" t="s">
        <v>729</v>
      </c>
      <c r="G144" t="s">
        <v>260</v>
      </c>
      <c r="H144" s="4" t="s">
        <v>382</v>
      </c>
      <c r="J144" s="6" t="s">
        <v>262</v>
      </c>
    </row>
    <row r="145" spans="1:11" x14ac:dyDescent="0.2">
      <c r="A145" t="s">
        <v>200</v>
      </c>
      <c r="B145" s="12" t="s">
        <v>200</v>
      </c>
      <c r="C145" s="9" t="s">
        <v>200</v>
      </c>
      <c r="D145" s="8" t="s">
        <v>361</v>
      </c>
      <c r="E145" s="8" t="s">
        <v>506</v>
      </c>
      <c r="F145" s="8" t="s">
        <v>507</v>
      </c>
      <c r="G145" s="8" t="s">
        <v>364</v>
      </c>
      <c r="H145" s="10" t="s">
        <v>508</v>
      </c>
      <c r="I145" s="8">
        <v>3614</v>
      </c>
      <c r="J145" s="8" t="s">
        <v>262</v>
      </c>
      <c r="K145" s="8" t="s">
        <v>509</v>
      </c>
    </row>
    <row r="146" spans="1:11" x14ac:dyDescent="0.2">
      <c r="A146" t="s">
        <v>106</v>
      </c>
      <c r="B146" s="11" t="s">
        <v>329</v>
      </c>
      <c r="C146" s="5" t="s">
        <v>329</v>
      </c>
      <c r="D146" t="s">
        <v>308</v>
      </c>
      <c r="E146" t="s">
        <v>330</v>
      </c>
      <c r="F146" t="s">
        <v>330</v>
      </c>
      <c r="G146" t="s">
        <v>260</v>
      </c>
      <c r="H146" s="4" t="s">
        <v>331</v>
      </c>
      <c r="I146">
        <v>4719</v>
      </c>
      <c r="J146" s="6" t="s">
        <v>262</v>
      </c>
      <c r="K146" t="s">
        <v>332</v>
      </c>
    </row>
    <row r="147" spans="1:11" x14ac:dyDescent="0.2">
      <c r="A147" t="s">
        <v>110</v>
      </c>
      <c r="B147" s="11" t="s">
        <v>110</v>
      </c>
      <c r="C147" s="5" t="s">
        <v>110</v>
      </c>
      <c r="D147" t="s">
        <v>361</v>
      </c>
      <c r="E147" t="s">
        <v>389</v>
      </c>
      <c r="F147" t="s">
        <v>389</v>
      </c>
      <c r="G147" t="s">
        <v>260</v>
      </c>
      <c r="H147" s="4" t="s">
        <v>389</v>
      </c>
      <c r="I147">
        <v>1719</v>
      </c>
      <c r="J147" s="6" t="s">
        <v>262</v>
      </c>
      <c r="K147" t="s">
        <v>390</v>
      </c>
    </row>
    <row r="148" spans="1:11" x14ac:dyDescent="0.2">
      <c r="A148" t="s">
        <v>118</v>
      </c>
      <c r="B148" s="11" t="s">
        <v>118</v>
      </c>
      <c r="C148" s="5" t="s">
        <v>118</v>
      </c>
      <c r="D148" t="s">
        <v>308</v>
      </c>
      <c r="E148" t="s">
        <v>703</v>
      </c>
      <c r="F148" t="s">
        <v>703</v>
      </c>
      <c r="G148" t="s">
        <v>260</v>
      </c>
      <c r="H148" s="4" t="s">
        <v>336</v>
      </c>
      <c r="I148">
        <v>6389</v>
      </c>
      <c r="J148" s="6" t="s">
        <v>262</v>
      </c>
      <c r="K148" t="s">
        <v>337</v>
      </c>
    </row>
    <row r="149" spans="1:11" x14ac:dyDescent="0.2">
      <c r="A149" t="s">
        <v>122</v>
      </c>
      <c r="B149" s="11" t="s">
        <v>122</v>
      </c>
      <c r="C149" s="5" t="s">
        <v>122</v>
      </c>
      <c r="D149" t="s">
        <v>299</v>
      </c>
      <c r="E149" t="s">
        <v>348</v>
      </c>
      <c r="F149" t="s">
        <v>348</v>
      </c>
      <c r="G149" t="s">
        <v>260</v>
      </c>
      <c r="H149" s="4" t="s">
        <v>349</v>
      </c>
      <c r="I149">
        <v>1584</v>
      </c>
      <c r="J149" s="6" t="s">
        <v>262</v>
      </c>
      <c r="K149" t="s">
        <v>350</v>
      </c>
    </row>
    <row r="150" spans="1:11" s="8" customFormat="1" x14ac:dyDescent="0.2">
      <c r="A150" t="s">
        <v>126</v>
      </c>
      <c r="B150" s="11" t="s">
        <v>126</v>
      </c>
      <c r="C150" s="5" t="s">
        <v>126</v>
      </c>
      <c r="D150" t="s">
        <v>445</v>
      </c>
      <c r="E150" t="s">
        <v>446</v>
      </c>
      <c r="F150" t="s">
        <v>446</v>
      </c>
      <c r="G150" t="s">
        <v>260</v>
      </c>
      <c r="H150" s="4" t="s">
        <v>447</v>
      </c>
      <c r="I150">
        <v>8972</v>
      </c>
      <c r="J150" s="6" t="s">
        <v>262</v>
      </c>
      <c r="K150" t="s">
        <v>448</v>
      </c>
    </row>
    <row r="151" spans="1:11" x14ac:dyDescent="0.2">
      <c r="A151" t="s">
        <v>108</v>
      </c>
      <c r="B151" s="11" t="s">
        <v>449</v>
      </c>
      <c r="C151" s="5" t="s">
        <v>449</v>
      </c>
      <c r="D151" t="s">
        <v>445</v>
      </c>
      <c r="E151" t="s">
        <v>446</v>
      </c>
      <c r="F151" t="s">
        <v>446</v>
      </c>
      <c r="G151" t="s">
        <v>260</v>
      </c>
      <c r="H151" s="4" t="s">
        <v>450</v>
      </c>
      <c r="I151">
        <v>7357</v>
      </c>
      <c r="J151" s="6" t="s">
        <v>262</v>
      </c>
      <c r="K151" t="s">
        <v>451</v>
      </c>
    </row>
    <row r="152" spans="1:11" s="8" customFormat="1" x14ac:dyDescent="0.2">
      <c r="A152" t="s">
        <v>112</v>
      </c>
      <c r="B152" s="11" t="s">
        <v>367</v>
      </c>
      <c r="C152" s="5" t="s">
        <v>367</v>
      </c>
      <c r="D152" t="s">
        <v>368</v>
      </c>
      <c r="E152" t="s">
        <v>349</v>
      </c>
      <c r="F152" t="s">
        <v>349</v>
      </c>
      <c r="G152" t="s">
        <v>260</v>
      </c>
      <c r="H152" s="4" t="s">
        <v>349</v>
      </c>
      <c r="I152">
        <v>1584</v>
      </c>
      <c r="J152" s="6" t="s">
        <v>262</v>
      </c>
      <c r="K152" t="s">
        <v>369</v>
      </c>
    </row>
    <row r="153" spans="1:11" x14ac:dyDescent="0.2">
      <c r="A153" t="s">
        <v>116</v>
      </c>
      <c r="B153" s="11" t="s">
        <v>116</v>
      </c>
      <c r="C153" s="5" t="s">
        <v>116</v>
      </c>
      <c r="D153" t="s">
        <v>361</v>
      </c>
      <c r="E153" t="s">
        <v>511</v>
      </c>
      <c r="F153" t="s">
        <v>507</v>
      </c>
      <c r="G153" t="s">
        <v>260</v>
      </c>
      <c r="H153" s="4" t="s">
        <v>508</v>
      </c>
      <c r="I153">
        <v>3614</v>
      </c>
      <c r="J153" s="6" t="s">
        <v>262</v>
      </c>
      <c r="K153" t="s">
        <v>509</v>
      </c>
    </row>
    <row r="154" spans="1:11" x14ac:dyDescent="0.2">
      <c r="A154" t="s">
        <v>241</v>
      </c>
      <c r="B154" s="11" t="s">
        <v>241</v>
      </c>
      <c r="C154" s="5" t="s">
        <v>241</v>
      </c>
      <c r="D154" t="s">
        <v>406</v>
      </c>
      <c r="E154" t="s">
        <v>522</v>
      </c>
      <c r="F154" t="s">
        <v>522</v>
      </c>
      <c r="G154" t="s">
        <v>260</v>
      </c>
      <c r="H154" s="4" t="s">
        <v>523</v>
      </c>
      <c r="I154">
        <v>2081</v>
      </c>
      <c r="J154" s="6" t="s">
        <v>262</v>
      </c>
      <c r="K154" t="s">
        <v>524</v>
      </c>
    </row>
    <row r="155" spans="1:11" x14ac:dyDescent="0.2">
      <c r="A155" t="s">
        <v>120</v>
      </c>
      <c r="B155" t="s">
        <v>120</v>
      </c>
      <c r="C155" s="5" t="s">
        <v>569</v>
      </c>
      <c r="D155" t="s">
        <v>303</v>
      </c>
      <c r="E155" t="s">
        <v>570</v>
      </c>
      <c r="F155" t="s">
        <v>570</v>
      </c>
      <c r="G155" t="s">
        <v>260</v>
      </c>
      <c r="H155" s="4" t="s">
        <v>570</v>
      </c>
      <c r="I155">
        <v>27035</v>
      </c>
      <c r="J155" s="6" t="s">
        <v>262</v>
      </c>
      <c r="K155" t="s">
        <v>571</v>
      </c>
    </row>
    <row r="156" spans="1:11" x14ac:dyDescent="0.2">
      <c r="A156" t="s">
        <v>124</v>
      </c>
      <c r="B156" t="s">
        <v>124</v>
      </c>
      <c r="C156" s="5" t="s">
        <v>594</v>
      </c>
      <c r="D156" t="s">
        <v>406</v>
      </c>
      <c r="E156" t="s">
        <v>595</v>
      </c>
      <c r="F156" t="s">
        <v>595</v>
      </c>
      <c r="G156" t="s">
        <v>260</v>
      </c>
      <c r="H156" s="4" t="s">
        <v>592</v>
      </c>
      <c r="I156">
        <v>7415</v>
      </c>
      <c r="J156" s="6" t="s">
        <v>262</v>
      </c>
      <c r="K156" t="s">
        <v>593</v>
      </c>
    </row>
    <row r="157" spans="1:11" x14ac:dyDescent="0.2">
      <c r="A157" t="s">
        <v>243</v>
      </c>
      <c r="B157" t="s">
        <v>243</v>
      </c>
      <c r="C157" s="5" t="s">
        <v>458</v>
      </c>
      <c r="D157" t="s">
        <v>303</v>
      </c>
      <c r="E157" t="s">
        <v>456</v>
      </c>
      <c r="F157" t="s">
        <v>456</v>
      </c>
      <c r="G157" t="s">
        <v>260</v>
      </c>
      <c r="H157" s="4" t="s">
        <v>456</v>
      </c>
      <c r="I157">
        <v>2879</v>
      </c>
      <c r="J157" s="6" t="s">
        <v>262</v>
      </c>
      <c r="K157" t="s">
        <v>457</v>
      </c>
    </row>
    <row r="158" spans="1:11" x14ac:dyDescent="0.2">
      <c r="A158" t="s">
        <v>245</v>
      </c>
      <c r="B158" t="s">
        <v>245</v>
      </c>
      <c r="C158" s="5" t="s">
        <v>459</v>
      </c>
      <c r="D158" t="s">
        <v>303</v>
      </c>
      <c r="E158" t="s">
        <v>456</v>
      </c>
      <c r="F158" t="s">
        <v>456</v>
      </c>
      <c r="G158" t="s">
        <v>260</v>
      </c>
      <c r="H158" s="4" t="s">
        <v>456</v>
      </c>
      <c r="I158">
        <v>2879</v>
      </c>
      <c r="J158" s="6" t="s">
        <v>262</v>
      </c>
      <c r="K158" t="s">
        <v>457</v>
      </c>
    </row>
    <row r="159" spans="1:11" x14ac:dyDescent="0.2">
      <c r="A159" t="s">
        <v>247</v>
      </c>
      <c r="B159" t="s">
        <v>247</v>
      </c>
      <c r="C159" s="5" t="s">
        <v>247</v>
      </c>
      <c r="D159" t="s">
        <v>406</v>
      </c>
      <c r="E159" t="s">
        <v>591</v>
      </c>
      <c r="F159" t="s">
        <v>591</v>
      </c>
      <c r="G159" t="s">
        <v>260</v>
      </c>
      <c r="H159" s="4" t="s">
        <v>592</v>
      </c>
      <c r="I159">
        <v>7415</v>
      </c>
      <c r="J159" s="6" t="s">
        <v>262</v>
      </c>
      <c r="K159" t="s">
        <v>593</v>
      </c>
    </row>
    <row r="160" spans="1:11" x14ac:dyDescent="0.2">
      <c r="A160" t="s">
        <v>128</v>
      </c>
      <c r="B160" t="s">
        <v>128</v>
      </c>
      <c r="C160" s="5" t="s">
        <v>498</v>
      </c>
      <c r="D160" t="s">
        <v>494</v>
      </c>
      <c r="E160" t="s">
        <v>495</v>
      </c>
      <c r="F160" t="s">
        <v>495</v>
      </c>
      <c r="G160" t="s">
        <v>260</v>
      </c>
      <c r="H160" s="4" t="s">
        <v>496</v>
      </c>
      <c r="I160">
        <v>3417</v>
      </c>
      <c r="J160" s="6" t="s">
        <v>262</v>
      </c>
      <c r="K160" t="s">
        <v>497</v>
      </c>
    </row>
    <row r="161" spans="1:11" x14ac:dyDescent="0.2">
      <c r="A161" t="s">
        <v>129</v>
      </c>
      <c r="B161" s="12" t="s">
        <v>512</v>
      </c>
      <c r="C161" s="9" t="s">
        <v>512</v>
      </c>
      <c r="D161" s="8" t="s">
        <v>361</v>
      </c>
      <c r="E161" s="8" t="s">
        <v>511</v>
      </c>
      <c r="F161" s="8" t="s">
        <v>507</v>
      </c>
      <c r="G161" s="8" t="s">
        <v>364</v>
      </c>
      <c r="H161" s="10" t="s">
        <v>508</v>
      </c>
      <c r="I161" s="8">
        <v>3614</v>
      </c>
      <c r="J161" s="8" t="s">
        <v>262</v>
      </c>
      <c r="K161" s="8" t="s">
        <v>509</v>
      </c>
    </row>
    <row r="162" spans="1:11" x14ac:dyDescent="0.2">
      <c r="A162" t="s">
        <v>133</v>
      </c>
      <c r="B162" s="11" t="s">
        <v>689</v>
      </c>
      <c r="C162" s="5" t="s">
        <v>689</v>
      </c>
      <c r="D162" t="s">
        <v>258</v>
      </c>
      <c r="E162" t="s">
        <v>690</v>
      </c>
      <c r="F162" t="s">
        <v>690</v>
      </c>
      <c r="G162" t="s">
        <v>260</v>
      </c>
      <c r="H162" s="4" t="s">
        <v>691</v>
      </c>
      <c r="I162">
        <v>8877</v>
      </c>
      <c r="J162" s="6" t="s">
        <v>262</v>
      </c>
      <c r="K162" t="s">
        <v>692</v>
      </c>
    </row>
    <row r="163" spans="1:11" x14ac:dyDescent="0.2">
      <c r="A163" t="s">
        <v>141</v>
      </c>
      <c r="B163" s="11" t="s">
        <v>141</v>
      </c>
      <c r="C163" s="5" t="s">
        <v>141</v>
      </c>
      <c r="D163" t="s">
        <v>414</v>
      </c>
      <c r="E163" t="s">
        <v>633</v>
      </c>
      <c r="F163" t="s">
        <v>633</v>
      </c>
      <c r="G163" t="s">
        <v>260</v>
      </c>
      <c r="H163" s="4" t="s">
        <v>634</v>
      </c>
      <c r="I163">
        <v>5315</v>
      </c>
      <c r="J163" s="6" t="s">
        <v>262</v>
      </c>
      <c r="K163" t="s">
        <v>635</v>
      </c>
    </row>
    <row r="164" spans="1:11" x14ac:dyDescent="0.2">
      <c r="A164" t="s">
        <v>226</v>
      </c>
      <c r="B164" s="11" t="s">
        <v>632</v>
      </c>
      <c r="C164" s="5" t="s">
        <v>632</v>
      </c>
      <c r="D164" t="s">
        <v>629</v>
      </c>
      <c r="E164" t="s">
        <v>630</v>
      </c>
      <c r="F164" t="s">
        <v>630</v>
      </c>
      <c r="G164" t="s">
        <v>260</v>
      </c>
      <c r="H164" s="4" t="s">
        <v>630</v>
      </c>
      <c r="I164">
        <v>26227</v>
      </c>
      <c r="J164" s="6" t="s">
        <v>262</v>
      </c>
      <c r="K164" t="s">
        <v>631</v>
      </c>
    </row>
    <row r="165" spans="1:11" x14ac:dyDescent="0.2">
      <c r="A165" t="s">
        <v>228</v>
      </c>
      <c r="B165" s="11" t="s">
        <v>267</v>
      </c>
      <c r="C165" s="5" t="s">
        <v>267</v>
      </c>
      <c r="D165" t="s">
        <v>258</v>
      </c>
      <c r="E165" t="s">
        <v>268</v>
      </c>
      <c r="F165" t="s">
        <v>268</v>
      </c>
      <c r="G165" t="s">
        <v>260</v>
      </c>
      <c r="H165" s="4" t="s">
        <v>269</v>
      </c>
      <c r="I165">
        <v>31</v>
      </c>
      <c r="J165" s="6" t="s">
        <v>262</v>
      </c>
      <c r="K165" t="s">
        <v>270</v>
      </c>
    </row>
    <row r="166" spans="1:11" x14ac:dyDescent="0.2">
      <c r="A166" t="s">
        <v>145</v>
      </c>
      <c r="B166" s="11" t="s">
        <v>145</v>
      </c>
      <c r="C166" s="5" t="s">
        <v>145</v>
      </c>
      <c r="D166" t="s">
        <v>289</v>
      </c>
      <c r="E166" t="s">
        <v>487</v>
      </c>
      <c r="F166" t="s">
        <v>487</v>
      </c>
      <c r="G166" t="s">
        <v>260</v>
      </c>
      <c r="H166" s="4" t="s">
        <v>487</v>
      </c>
      <c r="I166">
        <v>100682260</v>
      </c>
      <c r="J166" s="6" t="s">
        <v>262</v>
      </c>
      <c r="K166" t="s">
        <v>488</v>
      </c>
    </row>
    <row r="167" spans="1:11" x14ac:dyDescent="0.2">
      <c r="A167" t="s">
        <v>149</v>
      </c>
      <c r="B167" s="11" t="s">
        <v>562</v>
      </c>
      <c r="C167" s="5" t="s">
        <v>562</v>
      </c>
      <c r="D167" t="s">
        <v>299</v>
      </c>
      <c r="E167" t="s">
        <v>563</v>
      </c>
      <c r="F167" t="s">
        <v>563</v>
      </c>
      <c r="G167" t="s">
        <v>260</v>
      </c>
      <c r="J167" s="6" t="s">
        <v>262</v>
      </c>
    </row>
    <row r="168" spans="1:11" x14ac:dyDescent="0.2">
      <c r="A168" t="s">
        <v>131</v>
      </c>
      <c r="B168" s="11" t="s">
        <v>131</v>
      </c>
      <c r="C168" s="5" t="s">
        <v>131</v>
      </c>
      <c r="D168" t="s">
        <v>303</v>
      </c>
      <c r="E168" t="s">
        <v>729</v>
      </c>
      <c r="F168" t="s">
        <v>729</v>
      </c>
      <c r="G168" t="s">
        <v>260</v>
      </c>
      <c r="J168" s="6" t="s">
        <v>262</v>
      </c>
    </row>
    <row r="169" spans="1:11" x14ac:dyDescent="0.2">
      <c r="A169" t="s">
        <v>139</v>
      </c>
      <c r="B169" s="11" t="s">
        <v>598</v>
      </c>
      <c r="C169" s="5" t="s">
        <v>598</v>
      </c>
      <c r="D169" t="s">
        <v>308</v>
      </c>
      <c r="E169" t="s">
        <v>599</v>
      </c>
      <c r="F169" t="s">
        <v>599</v>
      </c>
      <c r="G169" t="s">
        <v>260</v>
      </c>
      <c r="H169" s="4" t="s">
        <v>600</v>
      </c>
      <c r="I169">
        <v>142</v>
      </c>
      <c r="J169" s="6" t="s">
        <v>262</v>
      </c>
      <c r="K169" t="s">
        <v>601</v>
      </c>
    </row>
    <row r="170" spans="1:11" x14ac:dyDescent="0.2">
      <c r="A170" t="s">
        <v>143</v>
      </c>
      <c r="B170" s="11" t="s">
        <v>143</v>
      </c>
      <c r="C170" s="5" t="s">
        <v>143</v>
      </c>
      <c r="D170" t="s">
        <v>258</v>
      </c>
      <c r="E170" t="s">
        <v>643</v>
      </c>
      <c r="F170" t="s">
        <v>643</v>
      </c>
      <c r="G170" t="s">
        <v>260</v>
      </c>
      <c r="H170" s="4" t="s">
        <v>641</v>
      </c>
      <c r="I170">
        <v>5465</v>
      </c>
      <c r="J170" s="6" t="s">
        <v>262</v>
      </c>
      <c r="K170" t="s">
        <v>642</v>
      </c>
    </row>
    <row r="171" spans="1:11" x14ac:dyDescent="0.2">
      <c r="A171" t="s">
        <v>147</v>
      </c>
      <c r="B171" s="11" t="s">
        <v>307</v>
      </c>
      <c r="C171" s="5" t="s">
        <v>307</v>
      </c>
      <c r="D171" t="s">
        <v>308</v>
      </c>
      <c r="E171" t="s">
        <v>309</v>
      </c>
      <c r="F171" t="s">
        <v>309</v>
      </c>
      <c r="G171" t="s">
        <v>260</v>
      </c>
      <c r="H171" s="4" t="s">
        <v>310</v>
      </c>
      <c r="I171">
        <v>516</v>
      </c>
      <c r="J171" s="6" t="s">
        <v>262</v>
      </c>
      <c r="K171" t="s">
        <v>311</v>
      </c>
    </row>
    <row r="172" spans="1:11" x14ac:dyDescent="0.2">
      <c r="A172" t="s">
        <v>230</v>
      </c>
      <c r="B172" s="11" t="s">
        <v>551</v>
      </c>
      <c r="C172" s="5" t="s">
        <v>551</v>
      </c>
      <c r="D172" t="s">
        <v>308</v>
      </c>
      <c r="E172" t="s">
        <v>308</v>
      </c>
      <c r="F172" t="s">
        <v>308</v>
      </c>
      <c r="G172" t="s">
        <v>260</v>
      </c>
      <c r="H172" s="4" t="s">
        <v>552</v>
      </c>
      <c r="I172">
        <v>5428</v>
      </c>
      <c r="J172" s="6" t="s">
        <v>262</v>
      </c>
      <c r="K172" t="s">
        <v>553</v>
      </c>
    </row>
    <row r="173" spans="1:11" x14ac:dyDescent="0.2">
      <c r="A173" t="s">
        <v>151</v>
      </c>
      <c r="B173" s="11" t="s">
        <v>151</v>
      </c>
      <c r="C173" s="5" t="s">
        <v>151</v>
      </c>
      <c r="D173" t="s">
        <v>258</v>
      </c>
      <c r="E173" t="s">
        <v>529</v>
      </c>
      <c r="F173" t="s">
        <v>529</v>
      </c>
      <c r="G173" t="s">
        <v>260</v>
      </c>
      <c r="H173" s="4" t="s">
        <v>530</v>
      </c>
      <c r="I173">
        <v>5406</v>
      </c>
      <c r="J173" s="6" t="s">
        <v>262</v>
      </c>
      <c r="K173" t="s">
        <v>531</v>
      </c>
    </row>
    <row r="174" spans="1:11" x14ac:dyDescent="0.2">
      <c r="A174" t="s">
        <v>134</v>
      </c>
      <c r="B174" s="11" t="s">
        <v>564</v>
      </c>
      <c r="C174" s="5" t="s">
        <v>564</v>
      </c>
      <c r="D174" t="s">
        <v>303</v>
      </c>
      <c r="E174" t="s">
        <v>565</v>
      </c>
      <c r="F174" t="s">
        <v>565</v>
      </c>
      <c r="G174" t="s">
        <v>260</v>
      </c>
      <c r="J174" s="6" t="s">
        <v>262</v>
      </c>
    </row>
    <row r="175" spans="1:11" x14ac:dyDescent="0.2">
      <c r="A175" t="s">
        <v>232</v>
      </c>
      <c r="B175" s="11" t="s">
        <v>232</v>
      </c>
      <c r="C175" s="5" t="s">
        <v>232</v>
      </c>
      <c r="D175" t="s">
        <v>303</v>
      </c>
      <c r="E175" t="s">
        <v>729</v>
      </c>
      <c r="F175" t="s">
        <v>729</v>
      </c>
      <c r="G175" t="s">
        <v>260</v>
      </c>
      <c r="J175" s="6" t="s">
        <v>262</v>
      </c>
    </row>
    <row r="176" spans="1:11" x14ac:dyDescent="0.2">
      <c r="A176" t="s">
        <v>142</v>
      </c>
      <c r="B176" s="11" t="s">
        <v>142</v>
      </c>
      <c r="C176" s="5" t="s">
        <v>142</v>
      </c>
      <c r="D176" t="s">
        <v>361</v>
      </c>
      <c r="E176" t="s">
        <v>506</v>
      </c>
      <c r="F176" t="s">
        <v>506</v>
      </c>
      <c r="G176" t="s">
        <v>260</v>
      </c>
      <c r="H176" s="4" t="s">
        <v>650</v>
      </c>
      <c r="I176">
        <v>100</v>
      </c>
      <c r="J176" s="6" t="s">
        <v>262</v>
      </c>
      <c r="K176" t="s">
        <v>651</v>
      </c>
    </row>
    <row r="177" spans="1:11" x14ac:dyDescent="0.2">
      <c r="A177" t="s">
        <v>234</v>
      </c>
      <c r="B177" t="s">
        <v>234</v>
      </c>
      <c r="C177" s="5" t="s">
        <v>271</v>
      </c>
      <c r="D177" t="s">
        <v>258</v>
      </c>
      <c r="E177" t="s">
        <v>268</v>
      </c>
      <c r="F177" t="s">
        <v>268</v>
      </c>
      <c r="G177" t="s">
        <v>260</v>
      </c>
      <c r="H177" s="4" t="s">
        <v>269</v>
      </c>
      <c r="I177">
        <v>31</v>
      </c>
      <c r="J177" s="6" t="s">
        <v>262</v>
      </c>
      <c r="K177" t="s">
        <v>270</v>
      </c>
    </row>
    <row r="178" spans="1:11" x14ac:dyDescent="0.2">
      <c r="A178" t="s">
        <v>239</v>
      </c>
      <c r="B178" t="s">
        <v>239</v>
      </c>
      <c r="C178" s="5" t="s">
        <v>702</v>
      </c>
      <c r="D178" t="s">
        <v>258</v>
      </c>
      <c r="E178" t="s">
        <v>699</v>
      </c>
      <c r="F178" t="s">
        <v>699</v>
      </c>
      <c r="G178" t="s">
        <v>260</v>
      </c>
      <c r="H178" s="4" t="s">
        <v>700</v>
      </c>
      <c r="I178">
        <v>6720</v>
      </c>
      <c r="J178" s="6" t="s">
        <v>262</v>
      </c>
      <c r="K178" t="s">
        <v>701</v>
      </c>
    </row>
    <row r="179" spans="1:11" x14ac:dyDescent="0.2">
      <c r="A179" t="s">
        <v>146</v>
      </c>
      <c r="B179" t="s">
        <v>146</v>
      </c>
      <c r="C179" s="5" t="s">
        <v>381</v>
      </c>
      <c r="D179" t="s">
        <v>368</v>
      </c>
      <c r="E179" t="s">
        <v>379</v>
      </c>
      <c r="F179" t="s">
        <v>379</v>
      </c>
      <c r="G179" t="s">
        <v>260</v>
      </c>
      <c r="H179" s="4" t="s">
        <v>379</v>
      </c>
      <c r="I179">
        <v>1576</v>
      </c>
      <c r="J179" s="6" t="s">
        <v>262</v>
      </c>
      <c r="K179" t="s">
        <v>380</v>
      </c>
    </row>
    <row r="180" spans="1:11" s="8" customFormat="1" x14ac:dyDescent="0.2">
      <c r="A180" t="s">
        <v>150</v>
      </c>
      <c r="B180" t="s">
        <v>150</v>
      </c>
      <c r="C180" s="5" t="s">
        <v>388</v>
      </c>
      <c r="D180" t="s">
        <v>258</v>
      </c>
      <c r="E180" t="s">
        <v>386</v>
      </c>
      <c r="F180" t="s">
        <v>386</v>
      </c>
      <c r="G180" t="s">
        <v>260</v>
      </c>
      <c r="H180" s="4" t="s">
        <v>386</v>
      </c>
      <c r="I180">
        <v>8694</v>
      </c>
      <c r="J180" s="6" t="s">
        <v>262</v>
      </c>
      <c r="K180" t="s">
        <v>387</v>
      </c>
    </row>
    <row r="181" spans="1:11" x14ac:dyDescent="0.2">
      <c r="A181" t="s">
        <v>138</v>
      </c>
      <c r="B181" t="s">
        <v>138</v>
      </c>
      <c r="C181" s="5" t="s">
        <v>735</v>
      </c>
      <c r="D181" t="s">
        <v>303</v>
      </c>
      <c r="E181" t="s">
        <v>729</v>
      </c>
      <c r="F181" t="s">
        <v>729</v>
      </c>
      <c r="G181" t="s">
        <v>260</v>
      </c>
      <c r="J181" s="6" t="s">
        <v>262</v>
      </c>
    </row>
    <row r="182" spans="1:11" x14ac:dyDescent="0.2">
      <c r="A182" t="s">
        <v>132</v>
      </c>
      <c r="B182" s="11" t="s">
        <v>333</v>
      </c>
      <c r="C182" s="5" t="s">
        <v>333</v>
      </c>
      <c r="D182" t="s">
        <v>308</v>
      </c>
      <c r="E182" t="s">
        <v>330</v>
      </c>
      <c r="F182" t="s">
        <v>330</v>
      </c>
      <c r="G182" t="s">
        <v>260</v>
      </c>
      <c r="H182" s="4" t="s">
        <v>331</v>
      </c>
      <c r="I182">
        <v>4719</v>
      </c>
      <c r="J182" s="6" t="s">
        <v>262</v>
      </c>
      <c r="K182" t="s">
        <v>332</v>
      </c>
    </row>
    <row r="183" spans="1:11" x14ac:dyDescent="0.2">
      <c r="A183" t="s">
        <v>236</v>
      </c>
      <c r="B183" s="11" t="s">
        <v>236</v>
      </c>
      <c r="C183" s="5" t="s">
        <v>236</v>
      </c>
      <c r="D183" t="s">
        <v>625</v>
      </c>
      <c r="E183" t="s">
        <v>626</v>
      </c>
      <c r="F183" t="s">
        <v>626</v>
      </c>
      <c r="G183" t="s">
        <v>260</v>
      </c>
      <c r="H183" s="4" t="s">
        <v>626</v>
      </c>
      <c r="I183">
        <v>5226</v>
      </c>
      <c r="J183" s="6" t="s">
        <v>262</v>
      </c>
      <c r="K183" t="s">
        <v>627</v>
      </c>
    </row>
    <row r="184" spans="1:11" x14ac:dyDescent="0.2">
      <c r="A184" t="s">
        <v>136</v>
      </c>
      <c r="B184" s="11" t="s">
        <v>517</v>
      </c>
      <c r="C184" s="5" t="s">
        <v>517</v>
      </c>
      <c r="D184" t="s">
        <v>518</v>
      </c>
      <c r="E184" t="s">
        <v>519</v>
      </c>
      <c r="F184" t="s">
        <v>519</v>
      </c>
      <c r="G184" t="s">
        <v>260</v>
      </c>
      <c r="H184" s="4" t="s">
        <v>520</v>
      </c>
      <c r="I184">
        <v>5468</v>
      </c>
      <c r="J184" s="6" t="s">
        <v>262</v>
      </c>
      <c r="K184" t="s">
        <v>521</v>
      </c>
    </row>
    <row r="185" spans="1:11" x14ac:dyDescent="0.2">
      <c r="A185" t="s">
        <v>140</v>
      </c>
      <c r="B185" s="11" t="s">
        <v>140</v>
      </c>
      <c r="C185" s="5" t="s">
        <v>140</v>
      </c>
      <c r="D185" t="s">
        <v>303</v>
      </c>
      <c r="E185" t="s">
        <v>468</v>
      </c>
      <c r="F185" t="s">
        <v>468</v>
      </c>
      <c r="G185" t="s">
        <v>260</v>
      </c>
      <c r="H185" s="4" t="s">
        <v>469</v>
      </c>
      <c r="I185">
        <v>2950</v>
      </c>
      <c r="J185" s="6" t="s">
        <v>262</v>
      </c>
      <c r="K185" t="s">
        <v>470</v>
      </c>
    </row>
    <row r="186" spans="1:11" x14ac:dyDescent="0.2">
      <c r="A186" t="s">
        <v>144</v>
      </c>
      <c r="B186" s="11" t="s">
        <v>602</v>
      </c>
      <c r="C186" s="5" t="s">
        <v>602</v>
      </c>
      <c r="D186" t="s">
        <v>308</v>
      </c>
      <c r="E186" t="s">
        <v>603</v>
      </c>
      <c r="F186" t="s">
        <v>603</v>
      </c>
      <c r="G186" t="s">
        <v>260</v>
      </c>
      <c r="H186" s="4" t="s">
        <v>604</v>
      </c>
      <c r="I186">
        <v>706</v>
      </c>
      <c r="J186" s="6" t="s">
        <v>262</v>
      </c>
      <c r="K186" t="s">
        <v>605</v>
      </c>
    </row>
    <row r="187" spans="1:11" x14ac:dyDescent="0.2">
      <c r="A187" t="s">
        <v>148</v>
      </c>
      <c r="B187" s="11" t="s">
        <v>148</v>
      </c>
      <c r="C187" s="5" t="s">
        <v>148</v>
      </c>
      <c r="D187" t="s">
        <v>303</v>
      </c>
      <c r="E187" t="s">
        <v>729</v>
      </c>
      <c r="F187" t="s">
        <v>729</v>
      </c>
      <c r="G187" t="s">
        <v>260</v>
      </c>
      <c r="J187" s="6" t="s">
        <v>262</v>
      </c>
    </row>
    <row r="188" spans="1:11" x14ac:dyDescent="0.2">
      <c r="A188" t="s">
        <v>152</v>
      </c>
      <c r="B188" s="11" t="s">
        <v>660</v>
      </c>
      <c r="C188" s="5" t="s">
        <v>660</v>
      </c>
      <c r="D188" t="s">
        <v>258</v>
      </c>
      <c r="E188" t="s">
        <v>661</v>
      </c>
      <c r="F188" t="s">
        <v>661</v>
      </c>
      <c r="G188" t="s">
        <v>260</v>
      </c>
      <c r="H188" s="4" t="s">
        <v>662</v>
      </c>
      <c r="I188">
        <v>6319</v>
      </c>
      <c r="J188" s="6" t="s">
        <v>262</v>
      </c>
      <c r="K188" t="s">
        <v>663</v>
      </c>
    </row>
    <row r="189" spans="1:11" x14ac:dyDescent="0.2">
      <c r="A189" t="s">
        <v>238</v>
      </c>
      <c r="B189" s="11" t="s">
        <v>410</v>
      </c>
      <c r="C189" s="5" t="s">
        <v>410</v>
      </c>
      <c r="D189" t="s">
        <v>406</v>
      </c>
      <c r="E189" t="s">
        <v>407</v>
      </c>
      <c r="F189" t="s">
        <v>407</v>
      </c>
      <c r="G189" t="s">
        <v>260</v>
      </c>
      <c r="H189" s="4" t="s">
        <v>411</v>
      </c>
      <c r="I189">
        <v>220213</v>
      </c>
      <c r="J189" s="6" t="s">
        <v>262</v>
      </c>
      <c r="K189" t="s">
        <v>412</v>
      </c>
    </row>
    <row r="190" spans="1:11" x14ac:dyDescent="0.2">
      <c r="A190" t="s">
        <v>153</v>
      </c>
      <c r="B190" s="11" t="s">
        <v>483</v>
      </c>
      <c r="C190" s="5" t="s">
        <v>483</v>
      </c>
      <c r="D190" t="s">
        <v>258</v>
      </c>
      <c r="E190" t="s">
        <v>484</v>
      </c>
      <c r="F190" t="s">
        <v>484</v>
      </c>
      <c r="G190" t="s">
        <v>260</v>
      </c>
      <c r="H190" s="4" t="s">
        <v>484</v>
      </c>
      <c r="I190">
        <v>3156</v>
      </c>
      <c r="J190" s="6" t="s">
        <v>262</v>
      </c>
      <c r="K190" t="s">
        <v>485</v>
      </c>
    </row>
    <row r="191" spans="1:11" x14ac:dyDescent="0.2">
      <c r="A191" t="s">
        <v>157</v>
      </c>
      <c r="B191" s="11" t="s">
        <v>711</v>
      </c>
      <c r="C191" s="5" t="s">
        <v>711</v>
      </c>
      <c r="D191" t="s">
        <v>303</v>
      </c>
      <c r="E191" t="s">
        <v>712</v>
      </c>
      <c r="F191" t="s">
        <v>712</v>
      </c>
      <c r="G191" t="s">
        <v>260</v>
      </c>
      <c r="H191" s="4" t="s">
        <v>712</v>
      </c>
      <c r="I191">
        <v>7295</v>
      </c>
      <c r="J191" s="6" t="s">
        <v>262</v>
      </c>
      <c r="K191" t="s">
        <v>713</v>
      </c>
    </row>
    <row r="192" spans="1:11" x14ac:dyDescent="0.2">
      <c r="A192" t="s">
        <v>161</v>
      </c>
      <c r="B192" s="12" t="s">
        <v>161</v>
      </c>
      <c r="C192" s="9" t="s">
        <v>161</v>
      </c>
      <c r="D192" s="8" t="s">
        <v>361</v>
      </c>
      <c r="E192" s="8" t="s">
        <v>721</v>
      </c>
      <c r="F192" s="8" t="s">
        <v>722</v>
      </c>
      <c r="G192" s="8" t="s">
        <v>364</v>
      </c>
      <c r="H192" s="10" t="s">
        <v>722</v>
      </c>
      <c r="I192" s="8">
        <v>7372</v>
      </c>
      <c r="J192" s="8" t="s">
        <v>262</v>
      </c>
      <c r="K192" s="8" t="s">
        <v>723</v>
      </c>
    </row>
    <row r="193" spans="1:11" s="8" customFormat="1" x14ac:dyDescent="0.2">
      <c r="A193" t="s">
        <v>165</v>
      </c>
      <c r="B193" s="12" t="s">
        <v>165</v>
      </c>
      <c r="C193" s="9" t="s">
        <v>165</v>
      </c>
      <c r="D193" s="8" t="s">
        <v>361</v>
      </c>
      <c r="E193" s="8" t="s">
        <v>389</v>
      </c>
      <c r="F193" s="8" t="s">
        <v>389</v>
      </c>
      <c r="G193" s="8" t="s">
        <v>364</v>
      </c>
      <c r="H193" s="10" t="s">
        <v>389</v>
      </c>
      <c r="I193" s="8">
        <v>1719</v>
      </c>
      <c r="J193" s="8" t="s">
        <v>262</v>
      </c>
      <c r="K193" s="8" t="s">
        <v>390</v>
      </c>
    </row>
    <row r="194" spans="1:11" x14ac:dyDescent="0.2">
      <c r="A194" t="s">
        <v>169</v>
      </c>
      <c r="B194" s="11" t="s">
        <v>298</v>
      </c>
      <c r="C194" s="5" t="s">
        <v>298</v>
      </c>
      <c r="D194" t="s">
        <v>299</v>
      </c>
      <c r="E194" t="s">
        <v>300</v>
      </c>
      <c r="F194" t="s">
        <v>300</v>
      </c>
      <c r="G194" t="s">
        <v>260</v>
      </c>
      <c r="H194" s="4" t="s">
        <v>301</v>
      </c>
      <c r="I194">
        <v>1071</v>
      </c>
      <c r="J194" s="6" t="s">
        <v>262</v>
      </c>
      <c r="K194" t="s">
        <v>302</v>
      </c>
    </row>
    <row r="195" spans="1:11" x14ac:dyDescent="0.2">
      <c r="A195" t="s">
        <v>173</v>
      </c>
      <c r="B195" s="11" t="s">
        <v>173</v>
      </c>
      <c r="C195" s="5" t="s">
        <v>173</v>
      </c>
      <c r="D195" t="s">
        <v>361</v>
      </c>
      <c r="E195" t="s">
        <v>718</v>
      </c>
      <c r="F195" t="s">
        <v>718</v>
      </c>
      <c r="G195" t="s">
        <v>260</v>
      </c>
      <c r="H195" s="4" t="s">
        <v>718</v>
      </c>
      <c r="I195">
        <v>7298</v>
      </c>
      <c r="J195" s="6" t="s">
        <v>262</v>
      </c>
      <c r="K195" t="s">
        <v>719</v>
      </c>
    </row>
    <row r="196" spans="1:11" x14ac:dyDescent="0.2">
      <c r="A196" t="s">
        <v>155</v>
      </c>
      <c r="B196" s="11" t="s">
        <v>688</v>
      </c>
      <c r="C196" s="5" t="s">
        <v>688</v>
      </c>
      <c r="D196" t="s">
        <v>518</v>
      </c>
      <c r="E196" t="s">
        <v>687</v>
      </c>
      <c r="F196" t="s">
        <v>687</v>
      </c>
      <c r="G196" t="s">
        <v>260</v>
      </c>
      <c r="J196" s="6" t="s">
        <v>262</v>
      </c>
    </row>
    <row r="197" spans="1:11" x14ac:dyDescent="0.2">
      <c r="A197" t="s">
        <v>159</v>
      </c>
      <c r="B197" s="11" t="s">
        <v>159</v>
      </c>
      <c r="C197" s="5" t="s">
        <v>159</v>
      </c>
      <c r="D197" t="s">
        <v>308</v>
      </c>
      <c r="E197" t="s">
        <v>678</v>
      </c>
      <c r="F197" t="s">
        <v>678</v>
      </c>
      <c r="G197" t="s">
        <v>260</v>
      </c>
      <c r="H197" s="4" t="s">
        <v>678</v>
      </c>
      <c r="I197">
        <v>23411</v>
      </c>
      <c r="J197" s="6" t="s">
        <v>262</v>
      </c>
      <c r="K197" t="s">
        <v>679</v>
      </c>
    </row>
    <row r="198" spans="1:11" x14ac:dyDescent="0.2">
      <c r="A198" t="s">
        <v>167</v>
      </c>
      <c r="B198" s="11" t="s">
        <v>587</v>
      </c>
      <c r="C198" s="5" t="s">
        <v>587</v>
      </c>
      <c r="D198" t="s">
        <v>258</v>
      </c>
      <c r="E198" t="s">
        <v>588</v>
      </c>
      <c r="F198" t="s">
        <v>588</v>
      </c>
      <c r="G198" t="s">
        <v>260</v>
      </c>
      <c r="H198" s="4" t="s">
        <v>589</v>
      </c>
      <c r="I198">
        <v>4047</v>
      </c>
      <c r="J198" s="6" t="s">
        <v>262</v>
      </c>
      <c r="K198" t="s">
        <v>590</v>
      </c>
    </row>
    <row r="199" spans="1:11" x14ac:dyDescent="0.2">
      <c r="A199" t="s">
        <v>171</v>
      </c>
      <c r="B199" s="11" t="s">
        <v>639</v>
      </c>
      <c r="C199" s="5" t="s">
        <v>639</v>
      </c>
      <c r="D199" t="s">
        <v>258</v>
      </c>
      <c r="E199" t="s">
        <v>640</v>
      </c>
      <c r="F199" t="s">
        <v>640</v>
      </c>
      <c r="G199" t="s">
        <v>260</v>
      </c>
      <c r="H199" s="4" t="s">
        <v>641</v>
      </c>
      <c r="I199">
        <v>5465</v>
      </c>
      <c r="J199" s="6" t="s">
        <v>262</v>
      </c>
      <c r="K199" t="s">
        <v>642</v>
      </c>
    </row>
    <row r="200" spans="1:11" x14ac:dyDescent="0.2">
      <c r="A200" t="s">
        <v>175</v>
      </c>
      <c r="B200" s="11" t="s">
        <v>486</v>
      </c>
      <c r="C200" s="5" t="s">
        <v>486</v>
      </c>
      <c r="D200" t="s">
        <v>258</v>
      </c>
      <c r="E200" t="s">
        <v>484</v>
      </c>
      <c r="F200" t="s">
        <v>484</v>
      </c>
      <c r="G200" t="s">
        <v>260</v>
      </c>
      <c r="H200" s="4" t="s">
        <v>484</v>
      </c>
      <c r="I200">
        <v>3156</v>
      </c>
      <c r="J200" s="6" t="s">
        <v>262</v>
      </c>
      <c r="K200" t="s">
        <v>485</v>
      </c>
    </row>
    <row r="201" spans="1:11" x14ac:dyDescent="0.2">
      <c r="A201" t="s">
        <v>154</v>
      </c>
      <c r="B201" s="11" t="s">
        <v>154</v>
      </c>
      <c r="C201" s="5" t="s">
        <v>154</v>
      </c>
      <c r="D201" t="s">
        <v>308</v>
      </c>
      <c r="E201" t="s">
        <v>330</v>
      </c>
      <c r="F201" t="s">
        <v>330</v>
      </c>
      <c r="G201" t="s">
        <v>260</v>
      </c>
      <c r="H201" s="4" t="s">
        <v>331</v>
      </c>
      <c r="I201">
        <v>4719</v>
      </c>
      <c r="J201" s="6" t="s">
        <v>262</v>
      </c>
      <c r="K201" t="s">
        <v>332</v>
      </c>
    </row>
    <row r="202" spans="1:11" x14ac:dyDescent="0.2">
      <c r="A202" t="s">
        <v>158</v>
      </c>
      <c r="B202" s="11" t="s">
        <v>158</v>
      </c>
      <c r="C202" s="5" t="s">
        <v>158</v>
      </c>
      <c r="D202" t="s">
        <v>308</v>
      </c>
      <c r="E202" t="s">
        <v>724</v>
      </c>
      <c r="F202" t="s">
        <v>724</v>
      </c>
      <c r="G202" t="s">
        <v>260</v>
      </c>
      <c r="H202" s="4" t="s">
        <v>725</v>
      </c>
      <c r="I202">
        <v>7350</v>
      </c>
      <c r="J202" s="6" t="s">
        <v>262</v>
      </c>
      <c r="K202" t="s">
        <v>726</v>
      </c>
    </row>
    <row r="203" spans="1:11" x14ac:dyDescent="0.2">
      <c r="A203" t="s">
        <v>162</v>
      </c>
      <c r="B203" s="11" t="s">
        <v>272</v>
      </c>
      <c r="C203" s="5" t="s">
        <v>272</v>
      </c>
      <c r="D203" t="s">
        <v>258</v>
      </c>
      <c r="E203" t="s">
        <v>273</v>
      </c>
      <c r="F203" t="s">
        <v>273</v>
      </c>
      <c r="G203" t="s">
        <v>260</v>
      </c>
      <c r="H203" s="7" t="s">
        <v>273</v>
      </c>
      <c r="I203" s="6">
        <v>47</v>
      </c>
      <c r="J203" s="6" t="s">
        <v>262</v>
      </c>
      <c r="K203" s="6" t="s">
        <v>274</v>
      </c>
    </row>
    <row r="204" spans="1:11" x14ac:dyDescent="0.2">
      <c r="A204" t="s">
        <v>166</v>
      </c>
      <c r="B204" s="11" t="s">
        <v>257</v>
      </c>
      <c r="C204" s="5" t="s">
        <v>257</v>
      </c>
      <c r="D204" t="s">
        <v>258</v>
      </c>
      <c r="E204" t="s">
        <v>259</v>
      </c>
      <c r="F204" t="s">
        <v>259</v>
      </c>
      <c r="G204" t="s">
        <v>260</v>
      </c>
      <c r="H204" s="4" t="s">
        <v>261</v>
      </c>
      <c r="I204">
        <v>9415</v>
      </c>
      <c r="J204" s="6" t="s">
        <v>262</v>
      </c>
      <c r="K204" t="s">
        <v>263</v>
      </c>
    </row>
    <row r="205" spans="1:11" x14ac:dyDescent="0.2">
      <c r="A205" t="s">
        <v>240</v>
      </c>
      <c r="B205" s="11" t="s">
        <v>240</v>
      </c>
      <c r="C205" s="5" t="s">
        <v>240</v>
      </c>
      <c r="D205" t="s">
        <v>729</v>
      </c>
      <c r="E205" t="s">
        <v>729</v>
      </c>
      <c r="F205" t="s">
        <v>729</v>
      </c>
      <c r="G205" t="s">
        <v>260</v>
      </c>
      <c r="J205" s="6" t="s">
        <v>262</v>
      </c>
    </row>
    <row r="206" spans="1:11" x14ac:dyDescent="0.2">
      <c r="A206" t="s">
        <v>170</v>
      </c>
      <c r="B206" s="11" t="s">
        <v>693</v>
      </c>
      <c r="C206" s="5" t="s">
        <v>693</v>
      </c>
      <c r="D206" t="s">
        <v>258</v>
      </c>
      <c r="E206" t="s">
        <v>690</v>
      </c>
      <c r="F206" t="s">
        <v>690</v>
      </c>
      <c r="G206" t="s">
        <v>260</v>
      </c>
      <c r="H206" s="4" t="s">
        <v>691</v>
      </c>
      <c r="I206">
        <v>8877</v>
      </c>
      <c r="J206" s="6" t="s">
        <v>262</v>
      </c>
      <c r="K206" t="s">
        <v>692</v>
      </c>
    </row>
    <row r="207" spans="1:11" x14ac:dyDescent="0.2">
      <c r="A207" t="s">
        <v>174</v>
      </c>
      <c r="B207" s="11" t="s">
        <v>342</v>
      </c>
      <c r="C207" s="5" t="s">
        <v>342</v>
      </c>
      <c r="D207" t="s">
        <v>308</v>
      </c>
      <c r="E207" t="s">
        <v>343</v>
      </c>
      <c r="F207" t="s">
        <v>343</v>
      </c>
      <c r="G207" t="s">
        <v>260</v>
      </c>
      <c r="H207" s="4" t="s">
        <v>344</v>
      </c>
      <c r="I207">
        <v>1351</v>
      </c>
      <c r="J207" s="6" t="s">
        <v>262</v>
      </c>
      <c r="K207" t="s">
        <v>345</v>
      </c>
    </row>
    <row r="208" spans="1:11" x14ac:dyDescent="0.2">
      <c r="A208" t="s">
        <v>156</v>
      </c>
      <c r="B208" s="11" t="s">
        <v>405</v>
      </c>
      <c r="C208" s="5" t="s">
        <v>405</v>
      </c>
      <c r="D208" t="s">
        <v>406</v>
      </c>
      <c r="E208" t="s">
        <v>407</v>
      </c>
      <c r="F208" t="s">
        <v>407</v>
      </c>
      <c r="G208" t="s">
        <v>260</v>
      </c>
      <c r="H208" s="4" t="s">
        <v>408</v>
      </c>
      <c r="I208">
        <v>9100</v>
      </c>
      <c r="J208" s="6" t="s">
        <v>262</v>
      </c>
      <c r="K208" t="s">
        <v>409</v>
      </c>
    </row>
    <row r="209" spans="1:11" x14ac:dyDescent="0.2">
      <c r="A209" t="s">
        <v>160</v>
      </c>
      <c r="B209" s="11" t="s">
        <v>561</v>
      </c>
      <c r="C209" s="5" t="s">
        <v>561</v>
      </c>
      <c r="D209" t="s">
        <v>557</v>
      </c>
      <c r="E209" t="s">
        <v>558</v>
      </c>
      <c r="F209" t="s">
        <v>558</v>
      </c>
      <c r="G209" t="s">
        <v>260</v>
      </c>
      <c r="H209" s="4" t="s">
        <v>558</v>
      </c>
      <c r="I209">
        <v>10135</v>
      </c>
      <c r="J209" s="6" t="s">
        <v>262</v>
      </c>
      <c r="K209" t="s">
        <v>559</v>
      </c>
    </row>
    <row r="210" spans="1:11" x14ac:dyDescent="0.2">
      <c r="A210" t="s">
        <v>164</v>
      </c>
      <c r="B210" s="12" t="s">
        <v>164</v>
      </c>
      <c r="C210" s="9" t="s">
        <v>164</v>
      </c>
      <c r="D210" s="8" t="s">
        <v>303</v>
      </c>
      <c r="E210" s="8" t="s">
        <v>729</v>
      </c>
      <c r="F210" s="8" t="s">
        <v>729</v>
      </c>
      <c r="G210" s="8" t="s">
        <v>364</v>
      </c>
      <c r="H210" s="10" t="s">
        <v>384</v>
      </c>
      <c r="I210" s="8">
        <v>5422</v>
      </c>
      <c r="J210" s="8" t="s">
        <v>262</v>
      </c>
      <c r="K210" s="8" t="s">
        <v>385</v>
      </c>
    </row>
    <row r="211" spans="1:11" x14ac:dyDescent="0.2">
      <c r="A211" t="s">
        <v>168</v>
      </c>
      <c r="B211" s="11" t="s">
        <v>168</v>
      </c>
      <c r="C211" s="5" t="s">
        <v>168</v>
      </c>
      <c r="D211" t="s">
        <v>518</v>
      </c>
      <c r="E211" t="s">
        <v>741</v>
      </c>
      <c r="F211" t="s">
        <v>741</v>
      </c>
      <c r="G211" t="s">
        <v>260</v>
      </c>
      <c r="H211" s="4" t="s">
        <v>733</v>
      </c>
      <c r="I211">
        <v>23657</v>
      </c>
      <c r="J211" s="6" t="s">
        <v>262</v>
      </c>
      <c r="K211" t="s">
        <v>734</v>
      </c>
    </row>
    <row r="212" spans="1:11" s="8" customFormat="1" x14ac:dyDescent="0.2">
      <c r="A212" t="s">
        <v>172</v>
      </c>
      <c r="B212" s="11" t="s">
        <v>172</v>
      </c>
      <c r="C212" s="5" t="s">
        <v>172</v>
      </c>
      <c r="D212" t="s">
        <v>303</v>
      </c>
      <c r="E212" t="s">
        <v>729</v>
      </c>
      <c r="F212" t="s">
        <v>729</v>
      </c>
      <c r="G212" t="s">
        <v>260</v>
      </c>
      <c r="H212" s="4"/>
      <c r="I212"/>
      <c r="J212" s="6" t="s">
        <v>262</v>
      </c>
      <c r="K212"/>
    </row>
    <row r="213" spans="1:11" x14ac:dyDescent="0.2">
      <c r="A213" t="s">
        <v>176</v>
      </c>
      <c r="B213" s="11" t="s">
        <v>176</v>
      </c>
      <c r="C213" s="5" t="s">
        <v>176</v>
      </c>
      <c r="D213" t="s">
        <v>299</v>
      </c>
      <c r="E213" t="s">
        <v>354</v>
      </c>
      <c r="F213" t="s">
        <v>354</v>
      </c>
      <c r="G213" t="s">
        <v>260</v>
      </c>
      <c r="H213" s="4" t="s">
        <v>354</v>
      </c>
      <c r="I213">
        <v>4513</v>
      </c>
      <c r="J213" s="6" t="s">
        <v>262</v>
      </c>
      <c r="K213" t="s">
        <v>355</v>
      </c>
    </row>
    <row r="214" spans="1:11" s="8" customFormat="1" x14ac:dyDescent="0.2">
      <c r="A214" t="s">
        <v>177</v>
      </c>
      <c r="B214" s="11" t="s">
        <v>177</v>
      </c>
      <c r="C214" s="5" t="s">
        <v>177</v>
      </c>
      <c r="D214" t="s">
        <v>445</v>
      </c>
      <c r="E214" t="s">
        <v>537</v>
      </c>
      <c r="F214" t="s">
        <v>537</v>
      </c>
      <c r="G214" t="s">
        <v>260</v>
      </c>
      <c r="H214" s="4" t="s">
        <v>540</v>
      </c>
      <c r="I214">
        <v>4124</v>
      </c>
      <c r="J214" s="6" t="s">
        <v>262</v>
      </c>
      <c r="K214" t="s">
        <v>541</v>
      </c>
    </row>
    <row r="215" spans="1:11" s="8" customFormat="1" x14ac:dyDescent="0.2">
      <c r="A215" t="s">
        <v>130</v>
      </c>
      <c r="B215" s="11" t="s">
        <v>370</v>
      </c>
      <c r="C215" s="5" t="s">
        <v>370</v>
      </c>
      <c r="D215" t="s">
        <v>368</v>
      </c>
      <c r="E215" t="s">
        <v>371</v>
      </c>
      <c r="F215" t="s">
        <v>371</v>
      </c>
      <c r="G215" t="s">
        <v>260</v>
      </c>
      <c r="H215" s="4" t="s">
        <v>371</v>
      </c>
      <c r="I215">
        <v>1586</v>
      </c>
      <c r="J215" s="6" t="s">
        <v>262</v>
      </c>
      <c r="K215" t="s">
        <v>372</v>
      </c>
    </row>
    <row r="216" spans="1:11" x14ac:dyDescent="0.2">
      <c r="A216" t="s">
        <v>192</v>
      </c>
      <c r="B216" s="11" t="s">
        <v>192</v>
      </c>
      <c r="C216" s="5" t="s">
        <v>192</v>
      </c>
      <c r="D216" t="s">
        <v>398</v>
      </c>
      <c r="E216" t="s">
        <v>399</v>
      </c>
      <c r="F216" t="s">
        <v>399</v>
      </c>
      <c r="G216" t="s">
        <v>260</v>
      </c>
      <c r="H216" s="4" t="s">
        <v>402</v>
      </c>
      <c r="I216">
        <v>203068</v>
      </c>
      <c r="J216" s="6" t="s">
        <v>262</v>
      </c>
      <c r="K216" t="s">
        <v>403</v>
      </c>
    </row>
    <row r="217" spans="1:11" x14ac:dyDescent="0.2">
      <c r="A217" t="s">
        <v>181</v>
      </c>
      <c r="B217" s="11" t="s">
        <v>542</v>
      </c>
      <c r="C217" s="5" t="s">
        <v>542</v>
      </c>
      <c r="D217" t="s">
        <v>445</v>
      </c>
      <c r="E217" t="s">
        <v>537</v>
      </c>
      <c r="F217" t="s">
        <v>537</v>
      </c>
      <c r="G217" t="s">
        <v>260</v>
      </c>
      <c r="H217" s="4" t="s">
        <v>543</v>
      </c>
      <c r="I217">
        <v>151306</v>
      </c>
      <c r="J217" s="6" t="s">
        <v>262</v>
      </c>
      <c r="K217" t="s">
        <v>544</v>
      </c>
    </row>
    <row r="218" spans="1:11" x14ac:dyDescent="0.2">
      <c r="A218" t="s">
        <v>185</v>
      </c>
      <c r="B218" s="11" t="s">
        <v>185</v>
      </c>
      <c r="C218" s="5" t="s">
        <v>185</v>
      </c>
      <c r="D218" t="s">
        <v>303</v>
      </c>
      <c r="E218" t="s">
        <v>468</v>
      </c>
      <c r="F218" t="s">
        <v>468</v>
      </c>
      <c r="G218" t="s">
        <v>260</v>
      </c>
      <c r="H218" s="4" t="s">
        <v>469</v>
      </c>
      <c r="I218">
        <v>2950</v>
      </c>
      <c r="J218" s="6" t="s">
        <v>262</v>
      </c>
      <c r="K218" t="s">
        <v>470</v>
      </c>
    </row>
    <row r="219" spans="1:11" x14ac:dyDescent="0.2">
      <c r="A219" t="s">
        <v>189</v>
      </c>
      <c r="B219" s="11" t="s">
        <v>636</v>
      </c>
      <c r="C219" s="5" t="s">
        <v>636</v>
      </c>
      <c r="D219" t="s">
        <v>414</v>
      </c>
      <c r="E219" t="s">
        <v>637</v>
      </c>
      <c r="F219" t="s">
        <v>637</v>
      </c>
      <c r="G219" t="s">
        <v>260</v>
      </c>
      <c r="H219" s="4" t="s">
        <v>634</v>
      </c>
      <c r="I219">
        <v>5315</v>
      </c>
      <c r="J219" s="6" t="s">
        <v>262</v>
      </c>
      <c r="K219" t="s">
        <v>635</v>
      </c>
    </row>
    <row r="220" spans="1:11" x14ac:dyDescent="0.2">
      <c r="A220" t="s">
        <v>193</v>
      </c>
      <c r="B220" s="11" t="s">
        <v>697</v>
      </c>
      <c r="C220" s="5" t="s">
        <v>697</v>
      </c>
      <c r="D220" t="s">
        <v>258</v>
      </c>
      <c r="E220" t="s">
        <v>695</v>
      </c>
      <c r="F220" t="s">
        <v>695</v>
      </c>
      <c r="G220" t="s">
        <v>260</v>
      </c>
      <c r="H220" s="4" t="s">
        <v>695</v>
      </c>
      <c r="I220">
        <v>6713</v>
      </c>
      <c r="J220" s="6" t="s">
        <v>262</v>
      </c>
      <c r="K220" t="s">
        <v>696</v>
      </c>
    </row>
    <row r="221" spans="1:11" x14ac:dyDescent="0.2">
      <c r="A221" t="s">
        <v>197</v>
      </c>
      <c r="B221" s="12" t="s">
        <v>197</v>
      </c>
      <c r="C221" s="9" t="s">
        <v>197</v>
      </c>
      <c r="D221" s="8" t="s">
        <v>361</v>
      </c>
      <c r="E221" s="8" t="s">
        <v>391</v>
      </c>
      <c r="F221" s="8" t="s">
        <v>391</v>
      </c>
      <c r="G221" s="8" t="s">
        <v>364</v>
      </c>
      <c r="H221" s="10" t="s">
        <v>391</v>
      </c>
      <c r="I221" s="8">
        <v>1723</v>
      </c>
      <c r="J221" s="8" t="s">
        <v>262</v>
      </c>
      <c r="K221" s="8" t="s">
        <v>392</v>
      </c>
    </row>
    <row r="222" spans="1:11" x14ac:dyDescent="0.2">
      <c r="A222" t="s">
        <v>179</v>
      </c>
      <c r="B222" s="11" t="s">
        <v>179</v>
      </c>
      <c r="C222" s="5" t="s">
        <v>179</v>
      </c>
      <c r="D222" t="s">
        <v>406</v>
      </c>
      <c r="E222" t="s">
        <v>664</v>
      </c>
      <c r="F222" t="s">
        <v>664</v>
      </c>
      <c r="G222" t="s">
        <v>260</v>
      </c>
      <c r="H222" s="4" t="s">
        <v>665</v>
      </c>
      <c r="I222">
        <v>487</v>
      </c>
      <c r="J222" s="6" t="s">
        <v>262</v>
      </c>
      <c r="K222" t="s">
        <v>666</v>
      </c>
    </row>
    <row r="223" spans="1:11" x14ac:dyDescent="0.2">
      <c r="A223" t="s">
        <v>242</v>
      </c>
      <c r="B223" s="11" t="s">
        <v>242</v>
      </c>
      <c r="C223" s="5" t="s">
        <v>242</v>
      </c>
      <c r="D223" t="s">
        <v>276</v>
      </c>
      <c r="E223" t="s">
        <v>375</v>
      </c>
      <c r="F223" t="s">
        <v>375</v>
      </c>
      <c r="G223" t="s">
        <v>260</v>
      </c>
      <c r="H223" s="4" t="s">
        <v>375</v>
      </c>
      <c r="I223">
        <v>1543</v>
      </c>
      <c r="J223" s="6" t="s">
        <v>262</v>
      </c>
      <c r="K223" t="s">
        <v>376</v>
      </c>
    </row>
    <row r="224" spans="1:11" x14ac:dyDescent="0.2">
      <c r="A224" t="s">
        <v>244</v>
      </c>
      <c r="B224" s="11" t="s">
        <v>244</v>
      </c>
      <c r="C224" s="5" t="s">
        <v>244</v>
      </c>
      <c r="D224" t="s">
        <v>258</v>
      </c>
      <c r="E224" t="s">
        <v>268</v>
      </c>
      <c r="F224" t="s">
        <v>268</v>
      </c>
      <c r="G224" t="s">
        <v>260</v>
      </c>
      <c r="H224" s="4" t="s">
        <v>269</v>
      </c>
      <c r="I224">
        <v>31</v>
      </c>
      <c r="J224" s="6" t="s">
        <v>262</v>
      </c>
      <c r="K224" t="s">
        <v>270</v>
      </c>
    </row>
    <row r="225" spans="1:11" x14ac:dyDescent="0.2">
      <c r="A225" t="s">
        <v>246</v>
      </c>
      <c r="B225" s="11" t="s">
        <v>673</v>
      </c>
      <c r="C225" s="5" t="s">
        <v>673</v>
      </c>
      <c r="D225" t="s">
        <v>445</v>
      </c>
      <c r="E225" t="s">
        <v>670</v>
      </c>
      <c r="F225" t="s">
        <v>670</v>
      </c>
      <c r="G225" t="s">
        <v>260</v>
      </c>
      <c r="H225" s="4" t="s">
        <v>671</v>
      </c>
      <c r="I225">
        <v>6523</v>
      </c>
      <c r="J225" s="6" t="s">
        <v>262</v>
      </c>
      <c r="K225" t="s">
        <v>672</v>
      </c>
    </row>
    <row r="226" spans="1:11" x14ac:dyDescent="0.2">
      <c r="A226" t="s">
        <v>183</v>
      </c>
      <c r="B226" s="11" t="s">
        <v>183</v>
      </c>
      <c r="C226" s="5" t="s">
        <v>183</v>
      </c>
      <c r="D226" t="s">
        <v>299</v>
      </c>
      <c r="E226" t="s">
        <v>346</v>
      </c>
      <c r="F226" t="s">
        <v>346</v>
      </c>
      <c r="G226" t="s">
        <v>260</v>
      </c>
      <c r="H226" s="4" t="s">
        <v>346</v>
      </c>
      <c r="I226">
        <v>1312</v>
      </c>
      <c r="J226" s="6" t="s">
        <v>262</v>
      </c>
      <c r="K226" t="s">
        <v>347</v>
      </c>
    </row>
    <row r="227" spans="1:11" x14ac:dyDescent="0.2">
      <c r="A227" t="s">
        <v>187</v>
      </c>
      <c r="B227" s="11" t="s">
        <v>187</v>
      </c>
      <c r="C227" s="5" t="s">
        <v>187</v>
      </c>
      <c r="D227" t="s">
        <v>258</v>
      </c>
      <c r="E227" t="s">
        <v>301</v>
      </c>
      <c r="F227" t="s">
        <v>301</v>
      </c>
      <c r="G227" t="s">
        <v>260</v>
      </c>
      <c r="H227" s="4" t="s">
        <v>301</v>
      </c>
      <c r="I227">
        <v>1071</v>
      </c>
      <c r="J227" s="6" t="s">
        <v>262</v>
      </c>
      <c r="K227" t="s">
        <v>302</v>
      </c>
    </row>
    <row r="228" spans="1:11" x14ac:dyDescent="0.2">
      <c r="A228" t="s">
        <v>191</v>
      </c>
      <c r="B228" s="11" t="s">
        <v>191</v>
      </c>
      <c r="C228" s="5" t="s">
        <v>191</v>
      </c>
      <c r="D228" t="s">
        <v>258</v>
      </c>
      <c r="E228" t="s">
        <v>522</v>
      </c>
      <c r="F228" t="s">
        <v>522</v>
      </c>
      <c r="G228" t="s">
        <v>260</v>
      </c>
      <c r="H228" s="4" t="s">
        <v>523</v>
      </c>
      <c r="I228">
        <v>2081</v>
      </c>
      <c r="J228" s="6" t="s">
        <v>262</v>
      </c>
      <c r="K228" t="s">
        <v>524</v>
      </c>
    </row>
    <row r="229" spans="1:11" x14ac:dyDescent="0.2">
      <c r="A229" t="s">
        <v>195</v>
      </c>
      <c r="B229" s="11" t="s">
        <v>195</v>
      </c>
      <c r="C229" s="5" t="s">
        <v>195</v>
      </c>
      <c r="D229" t="s">
        <v>299</v>
      </c>
      <c r="E229" t="s">
        <v>653</v>
      </c>
      <c r="F229" t="s">
        <v>653</v>
      </c>
      <c r="G229" t="s">
        <v>260</v>
      </c>
      <c r="H229" s="4" t="s">
        <v>654</v>
      </c>
      <c r="I229">
        <v>5914</v>
      </c>
      <c r="J229" s="6" t="s">
        <v>262</v>
      </c>
      <c r="K229" t="s">
        <v>655</v>
      </c>
    </row>
    <row r="230" spans="1:11" x14ac:dyDescent="0.2">
      <c r="A230" t="s">
        <v>199</v>
      </c>
      <c r="B230" s="11" t="s">
        <v>199</v>
      </c>
      <c r="C230" s="5" t="s">
        <v>199</v>
      </c>
      <c r="D230" t="s">
        <v>258</v>
      </c>
      <c r="E230" t="s">
        <v>422</v>
      </c>
      <c r="F230" t="s">
        <v>422</v>
      </c>
      <c r="G230" t="s">
        <v>260</v>
      </c>
      <c r="H230" s="4" t="s">
        <v>422</v>
      </c>
      <c r="I230">
        <v>355</v>
      </c>
      <c r="J230" s="6" t="s">
        <v>262</v>
      </c>
      <c r="K230" t="s">
        <v>423</v>
      </c>
    </row>
    <row r="231" spans="1:11" x14ac:dyDescent="0.2">
      <c r="A231" t="s">
        <v>178</v>
      </c>
      <c r="B231" s="11" t="s">
        <v>178</v>
      </c>
      <c r="C231" s="5" t="s">
        <v>178</v>
      </c>
      <c r="D231" t="s">
        <v>406</v>
      </c>
      <c r="E231" t="s">
        <v>452</v>
      </c>
      <c r="F231" t="s">
        <v>452</v>
      </c>
      <c r="G231" t="s">
        <v>260</v>
      </c>
      <c r="H231" s="4" t="s">
        <v>453</v>
      </c>
      <c r="I231">
        <v>79158</v>
      </c>
      <c r="J231" s="6" t="s">
        <v>262</v>
      </c>
      <c r="K231" t="s">
        <v>454</v>
      </c>
    </row>
    <row r="232" spans="1:11" x14ac:dyDescent="0.2">
      <c r="A232" t="s">
        <v>182</v>
      </c>
      <c r="B232" s="11" t="s">
        <v>321</v>
      </c>
      <c r="C232" s="5" t="s">
        <v>321</v>
      </c>
      <c r="D232" t="s">
        <v>317</v>
      </c>
      <c r="E232" t="s">
        <v>322</v>
      </c>
      <c r="F232" t="s">
        <v>322</v>
      </c>
      <c r="G232" t="s">
        <v>260</v>
      </c>
      <c r="H232" s="4" t="s">
        <v>323</v>
      </c>
      <c r="I232">
        <v>768</v>
      </c>
      <c r="J232" s="6" t="s">
        <v>262</v>
      </c>
      <c r="K232" t="s">
        <v>324</v>
      </c>
    </row>
    <row r="233" spans="1:11" s="8" customFormat="1" x14ac:dyDescent="0.2">
      <c r="A233" t="s">
        <v>186</v>
      </c>
      <c r="B233" s="11" t="s">
        <v>513</v>
      </c>
      <c r="C233" s="5" t="s">
        <v>513</v>
      </c>
      <c r="D233" t="s">
        <v>258</v>
      </c>
      <c r="E233" t="s">
        <v>514</v>
      </c>
      <c r="F233" t="s">
        <v>514</v>
      </c>
      <c r="G233" t="s">
        <v>260</v>
      </c>
      <c r="H233" s="4" t="s">
        <v>515</v>
      </c>
      <c r="I233">
        <v>3612</v>
      </c>
      <c r="J233" s="6" t="s">
        <v>262</v>
      </c>
      <c r="K233" t="s">
        <v>516</v>
      </c>
    </row>
    <row r="234" spans="1:11" x14ac:dyDescent="0.2">
      <c r="A234" t="s">
        <v>190</v>
      </c>
      <c r="B234" s="11" t="s">
        <v>190</v>
      </c>
      <c r="C234" s="5" t="s">
        <v>190</v>
      </c>
      <c r="D234" t="s">
        <v>303</v>
      </c>
      <c r="E234" t="s">
        <v>568</v>
      </c>
      <c r="F234" t="s">
        <v>568</v>
      </c>
      <c r="G234" t="s">
        <v>260</v>
      </c>
      <c r="J234" s="6" t="s">
        <v>262</v>
      </c>
    </row>
    <row r="235" spans="1:11" x14ac:dyDescent="0.2">
      <c r="A235" t="s">
        <v>194</v>
      </c>
      <c r="B235" s="11" t="s">
        <v>669</v>
      </c>
      <c r="C235" s="5" t="s">
        <v>669</v>
      </c>
      <c r="D235" t="s">
        <v>518</v>
      </c>
      <c r="E235" t="s">
        <v>668</v>
      </c>
      <c r="F235" t="s">
        <v>668</v>
      </c>
      <c r="G235" t="s">
        <v>260</v>
      </c>
      <c r="J235" s="6" t="s">
        <v>262</v>
      </c>
    </row>
    <row r="236" spans="1:11" x14ac:dyDescent="0.2">
      <c r="A236" t="s">
        <v>196</v>
      </c>
      <c r="B236" s="11" t="s">
        <v>404</v>
      </c>
      <c r="C236" s="5" t="s">
        <v>404</v>
      </c>
      <c r="D236" t="s">
        <v>398</v>
      </c>
      <c r="E236" t="s">
        <v>399</v>
      </c>
      <c r="F236" t="s">
        <v>399</v>
      </c>
      <c r="G236" t="s">
        <v>260</v>
      </c>
      <c r="H236" s="4" t="s">
        <v>402</v>
      </c>
      <c r="I236">
        <v>203068</v>
      </c>
      <c r="J236" s="6" t="s">
        <v>262</v>
      </c>
      <c r="K236" t="s">
        <v>403</v>
      </c>
    </row>
    <row r="237" spans="1:11" x14ac:dyDescent="0.2">
      <c r="A237" t="s">
        <v>163</v>
      </c>
      <c r="B237" s="11" t="s">
        <v>163</v>
      </c>
      <c r="C237" s="5" t="s">
        <v>163</v>
      </c>
      <c r="D237" t="s">
        <v>445</v>
      </c>
      <c r="E237" t="s">
        <v>446</v>
      </c>
      <c r="F237" t="s">
        <v>446</v>
      </c>
      <c r="G237" t="s">
        <v>260</v>
      </c>
      <c r="H237" s="4" t="s">
        <v>447</v>
      </c>
      <c r="I237">
        <v>8972</v>
      </c>
      <c r="J237" s="6" t="s">
        <v>262</v>
      </c>
      <c r="K237" t="s">
        <v>448</v>
      </c>
    </row>
    <row r="238" spans="1:11" x14ac:dyDescent="0.2">
      <c r="A238" t="s">
        <v>198</v>
      </c>
      <c r="B238" s="11" t="s">
        <v>325</v>
      </c>
      <c r="C238" s="5" t="s">
        <v>325</v>
      </c>
      <c r="D238" t="s">
        <v>258</v>
      </c>
      <c r="E238" t="s">
        <v>326</v>
      </c>
      <c r="F238" t="s">
        <v>326</v>
      </c>
      <c r="G238" t="s">
        <v>260</v>
      </c>
      <c r="H238" s="4" t="s">
        <v>327</v>
      </c>
      <c r="I238">
        <v>1066</v>
      </c>
      <c r="J238" s="6" t="s">
        <v>262</v>
      </c>
      <c r="K238" t="s">
        <v>328</v>
      </c>
    </row>
    <row r="239" spans="1:11" x14ac:dyDescent="0.2">
      <c r="A239" t="s">
        <v>180</v>
      </c>
      <c r="B239" s="11" t="s">
        <v>180</v>
      </c>
      <c r="C239" s="5" t="s">
        <v>180</v>
      </c>
      <c r="D239" t="s">
        <v>406</v>
      </c>
      <c r="E239" t="s">
        <v>595</v>
      </c>
      <c r="F239" t="s">
        <v>595</v>
      </c>
      <c r="G239" t="s">
        <v>260</v>
      </c>
      <c r="H239" s="4" t="s">
        <v>592</v>
      </c>
      <c r="I239">
        <v>7415</v>
      </c>
      <c r="J239" s="6" t="s">
        <v>262</v>
      </c>
      <c r="K239" t="s">
        <v>593</v>
      </c>
    </row>
    <row r="240" spans="1:11" x14ac:dyDescent="0.2">
      <c r="A240" t="s">
        <v>70</v>
      </c>
      <c r="B240" s="11" t="s">
        <v>70</v>
      </c>
      <c r="C240" s="5" t="s">
        <v>70</v>
      </c>
      <c r="D240" t="s">
        <v>361</v>
      </c>
      <c r="E240" t="s">
        <v>362</v>
      </c>
      <c r="F240" t="s">
        <v>362</v>
      </c>
      <c r="G240" t="s">
        <v>260</v>
      </c>
      <c r="H240" s="4" t="s">
        <v>382</v>
      </c>
      <c r="J240" s="6" t="s">
        <v>262</v>
      </c>
    </row>
    <row r="241" spans="1:11" x14ac:dyDescent="0.2">
      <c r="A241" t="s">
        <v>184</v>
      </c>
      <c r="B241" s="11" t="s">
        <v>184</v>
      </c>
      <c r="C241" s="5" t="s">
        <v>184</v>
      </c>
      <c r="D241" t="s">
        <v>258</v>
      </c>
      <c r="E241" t="s">
        <v>286</v>
      </c>
      <c r="F241" t="s">
        <v>286</v>
      </c>
      <c r="G241" t="s">
        <v>260</v>
      </c>
      <c r="H241" s="4" t="s">
        <v>286</v>
      </c>
      <c r="I241">
        <v>240</v>
      </c>
      <c r="J241" s="6" t="s">
        <v>262</v>
      </c>
      <c r="K241" t="s">
        <v>287</v>
      </c>
    </row>
  </sheetData>
  <sortState xmlns:xlrd2="http://schemas.microsoft.com/office/spreadsheetml/2017/richdata2" ref="B2:K241">
    <sortCondition ref="B2:B2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output_final</vt:lpstr>
      <vt:lpstr>first half</vt:lpstr>
      <vt:lpstr>second half</vt:lpstr>
      <vt:lpstr>Isaac pathway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2020-05-27T21:54:34Z</dcterms:created>
  <dcterms:modified xsi:type="dcterms:W3CDTF">2020-11-20T01:50:11Z</dcterms:modified>
</cp:coreProperties>
</file>